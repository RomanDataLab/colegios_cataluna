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SCC\EST_2\05. Estadística_Trajectòries educatives\Est_trajectòries_2425\"/>
    </mc:Choice>
  </mc:AlternateContent>
  <xr:revisionPtr revIDLastSave="0" documentId="13_ncr:1_{B19A840E-E997-4272-8FB2-F26C686EA2BB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Índex" sheetId="4" r:id="rId1"/>
    <sheet name=" ETE 1718" sheetId="5" r:id="rId2"/>
    <sheet name="ETE 1819" sheetId="10" r:id="rId3"/>
    <sheet name="ETE1920" sheetId="12" r:id="rId4"/>
    <sheet name="ETE2021" sheetId="13" r:id="rId5"/>
    <sheet name="ETE2122" sheetId="14" r:id="rId6"/>
    <sheet name="ETE2223" sheetId="15" r:id="rId7"/>
    <sheet name="ETE2324" sheetId="16" r:id="rId8"/>
    <sheet name="ETE2425" sheetId="17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7" l="1"/>
  <c r="F52" i="17"/>
  <c r="G53" i="17"/>
  <c r="K56" i="17"/>
  <c r="L57" i="17"/>
  <c r="M47" i="17"/>
  <c r="N48" i="17"/>
  <c r="O50" i="17"/>
  <c r="B38" i="17"/>
  <c r="E53" i="17"/>
  <c r="P56" i="17"/>
  <c r="M56" i="17"/>
  <c r="I54" i="17"/>
  <c r="P51" i="17"/>
  <c r="M51" i="17"/>
  <c r="P49" i="17"/>
  <c r="M49" i="17"/>
  <c r="P48" i="17"/>
  <c r="M48" i="17"/>
  <c r="P46" i="17"/>
  <c r="I46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B37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B36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B35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B34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B33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B32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B31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B30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B29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B28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B27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B26" i="17"/>
  <c r="P57" i="17"/>
  <c r="M57" i="17"/>
  <c r="J54" i="17"/>
  <c r="I55" i="17"/>
  <c r="H53" i="17"/>
  <c r="C6" i="16"/>
  <c r="G54" i="17" l="1"/>
  <c r="O49" i="17"/>
  <c r="G45" i="17"/>
  <c r="N50" i="17"/>
  <c r="L46" i="17"/>
  <c r="O57" i="17"/>
  <c r="K47" i="17"/>
  <c r="L47" i="17"/>
  <c r="K55" i="17"/>
  <c r="L56" i="17"/>
  <c r="N56" i="17"/>
  <c r="L55" i="17"/>
  <c r="L49" i="17"/>
  <c r="N45" i="17"/>
  <c r="L54" i="17"/>
  <c r="N47" i="17"/>
  <c r="N55" i="17"/>
  <c r="C30" i="17"/>
  <c r="C36" i="17"/>
  <c r="D50" i="17"/>
  <c r="C37" i="17"/>
  <c r="D51" i="17"/>
  <c r="C28" i="17"/>
  <c r="C33" i="17"/>
  <c r="C27" i="17"/>
  <c r="C31" i="17"/>
  <c r="D53" i="17"/>
  <c r="C34" i="17"/>
  <c r="D52" i="17"/>
  <c r="D48" i="17"/>
  <c r="C32" i="17"/>
  <c r="C29" i="17"/>
  <c r="C26" i="17"/>
  <c r="C35" i="17"/>
  <c r="G38" i="17"/>
  <c r="I45" i="17"/>
  <c r="K46" i="17"/>
  <c r="O48" i="17"/>
  <c r="E51" i="17"/>
  <c r="G52" i="17"/>
  <c r="I53" i="17"/>
  <c r="K54" i="17"/>
  <c r="M55" i="17"/>
  <c r="O56" i="17"/>
  <c r="H38" i="17"/>
  <c r="J45" i="17"/>
  <c r="F51" i="17"/>
  <c r="H52" i="17"/>
  <c r="I38" i="17"/>
  <c r="K45" i="17"/>
  <c r="M46" i="17"/>
  <c r="O47" i="17"/>
  <c r="E50" i="17"/>
  <c r="G51" i="17"/>
  <c r="I52" i="17"/>
  <c r="K53" i="17"/>
  <c r="M54" i="17"/>
  <c r="O55" i="17"/>
  <c r="F38" i="17"/>
  <c r="J38" i="17"/>
  <c r="L45" i="17"/>
  <c r="N46" i="17"/>
  <c r="P47" i="17"/>
  <c r="D49" i="17"/>
  <c r="F50" i="17"/>
  <c r="H51" i="17"/>
  <c r="J52" i="17"/>
  <c r="L53" i="17"/>
  <c r="N54" i="17"/>
  <c r="P55" i="17"/>
  <c r="D57" i="17"/>
  <c r="E52" i="17"/>
  <c r="H45" i="17"/>
  <c r="J53" i="17"/>
  <c r="K38" i="17"/>
  <c r="M45" i="17"/>
  <c r="O46" i="17"/>
  <c r="E49" i="17"/>
  <c r="G50" i="17"/>
  <c r="I51" i="17"/>
  <c r="K52" i="17"/>
  <c r="M53" i="17"/>
  <c r="O54" i="17"/>
  <c r="E57" i="17"/>
  <c r="F49" i="17"/>
  <c r="H50" i="17"/>
  <c r="J51" i="17"/>
  <c r="L52" i="17"/>
  <c r="N53" i="17"/>
  <c r="P54" i="17"/>
  <c r="D56" i="17"/>
  <c r="F57" i="17"/>
  <c r="L38" i="17"/>
  <c r="M38" i="17"/>
  <c r="O45" i="17"/>
  <c r="E48" i="17"/>
  <c r="G49" i="17"/>
  <c r="I50" i="17"/>
  <c r="K51" i="17"/>
  <c r="M52" i="17"/>
  <c r="O53" i="17"/>
  <c r="E56" i="17"/>
  <c r="G57" i="17"/>
  <c r="N38" i="17"/>
  <c r="P45" i="17"/>
  <c r="D47" i="17"/>
  <c r="F48" i="17"/>
  <c r="H49" i="17"/>
  <c r="J50" i="17"/>
  <c r="L51" i="17"/>
  <c r="N52" i="17"/>
  <c r="P53" i="17"/>
  <c r="D55" i="17"/>
  <c r="F56" i="17"/>
  <c r="H57" i="17"/>
  <c r="O38" i="17"/>
  <c r="I57" i="17"/>
  <c r="E38" i="17"/>
  <c r="E55" i="17"/>
  <c r="P38" i="17"/>
  <c r="D46" i="17"/>
  <c r="F47" i="17"/>
  <c r="H48" i="17"/>
  <c r="J49" i="17"/>
  <c r="L50" i="17"/>
  <c r="N51" i="17"/>
  <c r="P52" i="17"/>
  <c r="D54" i="17"/>
  <c r="F55" i="17"/>
  <c r="H56" i="17"/>
  <c r="J57" i="17"/>
  <c r="E47" i="17"/>
  <c r="G48" i="17"/>
  <c r="I49" i="17"/>
  <c r="K50" i="17"/>
  <c r="O52" i="17"/>
  <c r="G56" i="17"/>
  <c r="C55" i="17"/>
  <c r="E46" i="17"/>
  <c r="G47" i="17"/>
  <c r="I48" i="17"/>
  <c r="K49" i="17"/>
  <c r="M50" i="17"/>
  <c r="O51" i="17"/>
  <c r="E54" i="17"/>
  <c r="G55" i="17"/>
  <c r="I56" i="17"/>
  <c r="K57" i="17"/>
  <c r="F46" i="17"/>
  <c r="H47" i="17"/>
  <c r="J48" i="17"/>
  <c r="F54" i="17"/>
  <c r="H55" i="17"/>
  <c r="J56" i="17"/>
  <c r="E45" i="17"/>
  <c r="G46" i="17"/>
  <c r="I47" i="17"/>
  <c r="K48" i="17"/>
  <c r="D38" i="17"/>
  <c r="F45" i="17"/>
  <c r="H46" i="17"/>
  <c r="J47" i="17"/>
  <c r="L48" i="17"/>
  <c r="N49" i="17"/>
  <c r="P50" i="17"/>
  <c r="F53" i="17"/>
  <c r="H54" i="17"/>
  <c r="J55" i="17"/>
  <c r="N57" i="17"/>
  <c r="J46" i="17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B37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B36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B35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B34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B33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B32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B31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B30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B29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B28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B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B26" i="16"/>
  <c r="P18" i="16"/>
  <c r="P57" i="16" s="1"/>
  <c r="O18" i="16"/>
  <c r="O57" i="16" s="1"/>
  <c r="N18" i="16"/>
  <c r="N56" i="16" s="1"/>
  <c r="M18" i="16"/>
  <c r="M53" i="16" s="1"/>
  <c r="L18" i="16"/>
  <c r="L55" i="16" s="1"/>
  <c r="K18" i="16"/>
  <c r="J18" i="16"/>
  <c r="J54" i="16" s="1"/>
  <c r="I18" i="16"/>
  <c r="I54" i="16" s="1"/>
  <c r="H18" i="16"/>
  <c r="H53" i="16" s="1"/>
  <c r="G18" i="16"/>
  <c r="G53" i="16" s="1"/>
  <c r="F18" i="16"/>
  <c r="F52" i="16" s="1"/>
  <c r="E18" i="16"/>
  <c r="E52" i="16" s="1"/>
  <c r="D18" i="16"/>
  <c r="D51" i="16" s="1"/>
  <c r="B18" i="16"/>
  <c r="B38" i="16" s="1"/>
  <c r="C17" i="16"/>
  <c r="C16" i="16"/>
  <c r="C15" i="16"/>
  <c r="C14" i="16"/>
  <c r="C13" i="16"/>
  <c r="C12" i="16"/>
  <c r="C11" i="16"/>
  <c r="C10" i="16"/>
  <c r="C9" i="16"/>
  <c r="C8" i="16"/>
  <c r="C7" i="16"/>
  <c r="C49" i="17" l="1"/>
  <c r="C48" i="17"/>
  <c r="C46" i="17"/>
  <c r="C53" i="17"/>
  <c r="C47" i="17"/>
  <c r="C45" i="17"/>
  <c r="C38" i="17"/>
  <c r="C56" i="17"/>
  <c r="C51" i="17"/>
  <c r="C57" i="17"/>
  <c r="C52" i="17"/>
  <c r="C50" i="17"/>
  <c r="C54" i="17"/>
  <c r="D49" i="16"/>
  <c r="C32" i="16"/>
  <c r="C33" i="16"/>
  <c r="C31" i="16"/>
  <c r="C30" i="16"/>
  <c r="C29" i="16"/>
  <c r="P46" i="16"/>
  <c r="P47" i="16"/>
  <c r="P48" i="16"/>
  <c r="P54" i="16"/>
  <c r="P55" i="16"/>
  <c r="O46" i="16"/>
  <c r="O54" i="16"/>
  <c r="I51" i="16"/>
  <c r="I52" i="16"/>
  <c r="J45" i="16"/>
  <c r="F51" i="16"/>
  <c r="J52" i="16"/>
  <c r="J53" i="16"/>
  <c r="F47" i="16"/>
  <c r="G51" i="16"/>
  <c r="F55" i="16"/>
  <c r="I50" i="16"/>
  <c r="F49" i="16"/>
  <c r="G46" i="16"/>
  <c r="G49" i="16"/>
  <c r="F57" i="16"/>
  <c r="J51" i="16"/>
  <c r="J49" i="16"/>
  <c r="G57" i="16"/>
  <c r="G50" i="16"/>
  <c r="F50" i="16"/>
  <c r="J57" i="16"/>
  <c r="H56" i="16"/>
  <c r="H51" i="16"/>
  <c r="H50" i="16"/>
  <c r="H48" i="16"/>
  <c r="H52" i="16"/>
  <c r="D57" i="16"/>
  <c r="D54" i="16"/>
  <c r="D56" i="16"/>
  <c r="E49" i="16"/>
  <c r="D50" i="16"/>
  <c r="D46" i="16"/>
  <c r="E57" i="16"/>
  <c r="D48" i="16"/>
  <c r="C36" i="16"/>
  <c r="C35" i="16"/>
  <c r="C27" i="16"/>
  <c r="K38" i="16"/>
  <c r="I38" i="16"/>
  <c r="J38" i="16"/>
  <c r="C37" i="16"/>
  <c r="H38" i="16"/>
  <c r="C28" i="16"/>
  <c r="C34" i="16"/>
  <c r="E50" i="16"/>
  <c r="C26" i="16"/>
  <c r="M45" i="16"/>
  <c r="C18" i="16"/>
  <c r="P38" i="16"/>
  <c r="L50" i="16"/>
  <c r="G38" i="16"/>
  <c r="I45" i="16"/>
  <c r="K46" i="16"/>
  <c r="M47" i="16"/>
  <c r="O48" i="16"/>
  <c r="E51" i="16"/>
  <c r="G52" i="16"/>
  <c r="I53" i="16"/>
  <c r="K54" i="16"/>
  <c r="M55" i="16"/>
  <c r="O56" i="16"/>
  <c r="L46" i="16"/>
  <c r="N47" i="16"/>
  <c r="L54" i="16"/>
  <c r="N55" i="16"/>
  <c r="P56" i="16"/>
  <c r="K45" i="16"/>
  <c r="M46" i="16"/>
  <c r="O47" i="16"/>
  <c r="K53" i="16"/>
  <c r="M54" i="16"/>
  <c r="O55" i="16"/>
  <c r="L53" i="16"/>
  <c r="N54" i="16"/>
  <c r="N53" i="16"/>
  <c r="M38" i="16"/>
  <c r="M52" i="16"/>
  <c r="N38" i="16"/>
  <c r="P45" i="16"/>
  <c r="D47" i="16"/>
  <c r="F48" i="16"/>
  <c r="H49" i="16"/>
  <c r="J50" i="16"/>
  <c r="L51" i="16"/>
  <c r="N52" i="16"/>
  <c r="P53" i="16"/>
  <c r="D55" i="16"/>
  <c r="F56" i="16"/>
  <c r="H57" i="16"/>
  <c r="N45" i="16"/>
  <c r="O45" i="16"/>
  <c r="E48" i="16"/>
  <c r="K51" i="16"/>
  <c r="O53" i="16"/>
  <c r="E56" i="16"/>
  <c r="O38" i="16"/>
  <c r="E47" i="16"/>
  <c r="G48" i="16"/>
  <c r="I49" i="16"/>
  <c r="K50" i="16"/>
  <c r="M51" i="16"/>
  <c r="O52" i="16"/>
  <c r="E55" i="16"/>
  <c r="G56" i="16"/>
  <c r="I57" i="16"/>
  <c r="K52" i="16"/>
  <c r="E46" i="16"/>
  <c r="G47" i="16"/>
  <c r="I48" i="16"/>
  <c r="K49" i="16"/>
  <c r="M50" i="16"/>
  <c r="O51" i="16"/>
  <c r="E54" i="16"/>
  <c r="G55" i="16"/>
  <c r="I56" i="16"/>
  <c r="K57" i="16"/>
  <c r="D45" i="16"/>
  <c r="F46" i="16"/>
  <c r="H47" i="16"/>
  <c r="J48" i="16"/>
  <c r="L49" i="16"/>
  <c r="N50" i="16"/>
  <c r="P51" i="16"/>
  <c r="D53" i="16"/>
  <c r="F54" i="16"/>
  <c r="H55" i="16"/>
  <c r="J56" i="16"/>
  <c r="L57" i="16"/>
  <c r="N51" i="16"/>
  <c r="E45" i="16"/>
  <c r="I47" i="16"/>
  <c r="K48" i="16"/>
  <c r="M49" i="16"/>
  <c r="E53" i="16"/>
  <c r="G54" i="16"/>
  <c r="I55" i="16"/>
  <c r="K56" i="16"/>
  <c r="M57" i="16"/>
  <c r="L45" i="16"/>
  <c r="P52" i="16"/>
  <c r="D38" i="16"/>
  <c r="F45" i="16"/>
  <c r="H46" i="16"/>
  <c r="J47" i="16"/>
  <c r="L48" i="16"/>
  <c r="N49" i="16"/>
  <c r="P50" i="16"/>
  <c r="D52" i="16"/>
  <c r="F53" i="16"/>
  <c r="H54" i="16"/>
  <c r="J55" i="16"/>
  <c r="L56" i="16"/>
  <c r="N57" i="16"/>
  <c r="L38" i="16"/>
  <c r="O50" i="16"/>
  <c r="E38" i="16"/>
  <c r="G45" i="16"/>
  <c r="I46" i="16"/>
  <c r="K47" i="16"/>
  <c r="M48" i="16"/>
  <c r="O49" i="16"/>
  <c r="K55" i="16"/>
  <c r="M56" i="16"/>
  <c r="N46" i="16"/>
  <c r="L52" i="16"/>
  <c r="F38" i="16"/>
  <c r="H45" i="16"/>
  <c r="J46" i="16"/>
  <c r="L47" i="16"/>
  <c r="N48" i="16"/>
  <c r="P49" i="16"/>
  <c r="C7" i="15"/>
  <c r="C18" i="15" s="1"/>
  <c r="C8" i="15"/>
  <c r="C9" i="15"/>
  <c r="C10" i="15"/>
  <c r="C11" i="15"/>
  <c r="C12" i="15"/>
  <c r="C13" i="15"/>
  <c r="C14" i="15"/>
  <c r="C15" i="15"/>
  <c r="C16" i="15"/>
  <c r="C17" i="15"/>
  <c r="C6" i="15"/>
  <c r="B18" i="15"/>
  <c r="C48" i="16" l="1"/>
  <c r="C47" i="16"/>
  <c r="C57" i="16"/>
  <c r="C49" i="16"/>
  <c r="C56" i="16"/>
  <c r="C46" i="16"/>
  <c r="C38" i="16"/>
  <c r="C45" i="16"/>
  <c r="C55" i="16"/>
  <c r="C53" i="16"/>
  <c r="C52" i="16"/>
  <c r="C54" i="16"/>
  <c r="C51" i="16"/>
  <c r="C50" i="16"/>
  <c r="H57" i="15"/>
  <c r="H46" i="15"/>
  <c r="B26" i="15"/>
  <c r="H38" i="15"/>
  <c r="H27" i="15"/>
  <c r="H28" i="15"/>
  <c r="H29" i="15"/>
  <c r="H30" i="15"/>
  <c r="H31" i="15"/>
  <c r="H32" i="15"/>
  <c r="H33" i="15"/>
  <c r="H34" i="15"/>
  <c r="H35" i="15"/>
  <c r="H36" i="15"/>
  <c r="H37" i="15"/>
  <c r="H26" i="15"/>
  <c r="H18" i="15"/>
  <c r="H47" i="15" s="1"/>
  <c r="H56" i="15" l="1"/>
  <c r="H55" i="15"/>
  <c r="H53" i="15"/>
  <c r="H51" i="15"/>
  <c r="H52" i="15"/>
  <c r="H50" i="15"/>
  <c r="H49" i="15"/>
  <c r="H45" i="15"/>
  <c r="H54" i="15"/>
  <c r="H48" i="15"/>
  <c r="O50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B37" i="15"/>
  <c r="P36" i="15"/>
  <c r="O36" i="15"/>
  <c r="N36" i="15"/>
  <c r="M36" i="15"/>
  <c r="L36" i="15"/>
  <c r="K36" i="15"/>
  <c r="J36" i="15"/>
  <c r="I36" i="15"/>
  <c r="G36" i="15"/>
  <c r="F36" i="15"/>
  <c r="E36" i="15"/>
  <c r="D36" i="15"/>
  <c r="B36" i="15"/>
  <c r="P35" i="15"/>
  <c r="O35" i="15"/>
  <c r="N35" i="15"/>
  <c r="M35" i="15"/>
  <c r="L35" i="15"/>
  <c r="K35" i="15"/>
  <c r="J35" i="15"/>
  <c r="I35" i="15"/>
  <c r="G35" i="15"/>
  <c r="F35" i="15"/>
  <c r="E35" i="15"/>
  <c r="D35" i="15"/>
  <c r="B35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B34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B33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B32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B31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B30" i="15"/>
  <c r="P29" i="15"/>
  <c r="O29" i="15"/>
  <c r="N29" i="15"/>
  <c r="M29" i="15"/>
  <c r="L29" i="15"/>
  <c r="K29" i="15"/>
  <c r="J29" i="15"/>
  <c r="I29" i="15"/>
  <c r="G29" i="15"/>
  <c r="F29" i="15"/>
  <c r="E29" i="15"/>
  <c r="D29" i="15"/>
  <c r="B29" i="15"/>
  <c r="P28" i="15"/>
  <c r="O28" i="15"/>
  <c r="N28" i="15"/>
  <c r="M28" i="15"/>
  <c r="L28" i="15"/>
  <c r="K28" i="15"/>
  <c r="J28" i="15"/>
  <c r="I28" i="15"/>
  <c r="G28" i="15"/>
  <c r="F28" i="15"/>
  <c r="E28" i="15"/>
  <c r="D28" i="15"/>
  <c r="B28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B27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P18" i="15"/>
  <c r="P57" i="15" s="1"/>
  <c r="O18" i="15"/>
  <c r="O46" i="15" s="1"/>
  <c r="N18" i="15"/>
  <c r="N51" i="15" s="1"/>
  <c r="M18" i="15"/>
  <c r="M56" i="15" s="1"/>
  <c r="L18" i="15"/>
  <c r="L45" i="15" s="1"/>
  <c r="K18" i="15"/>
  <c r="K50" i="15" s="1"/>
  <c r="J18" i="15"/>
  <c r="J55" i="15" s="1"/>
  <c r="I18" i="15"/>
  <c r="I38" i="15" s="1"/>
  <c r="G18" i="15"/>
  <c r="F18" i="15"/>
  <c r="F54" i="15" s="1"/>
  <c r="E18" i="15"/>
  <c r="E54" i="15" s="1"/>
  <c r="D18" i="15"/>
  <c r="D48" i="15" s="1"/>
  <c r="C53" i="15"/>
  <c r="F26" i="10"/>
  <c r="H26" i="10"/>
  <c r="M54" i="15" l="1"/>
  <c r="C26" i="15"/>
  <c r="C34" i="15"/>
  <c r="C35" i="15"/>
  <c r="C31" i="15"/>
  <c r="N50" i="15"/>
  <c r="K49" i="15"/>
  <c r="K38" i="15"/>
  <c r="G49" i="15"/>
  <c r="G45" i="15"/>
  <c r="E38" i="15"/>
  <c r="C27" i="15"/>
  <c r="I45" i="15"/>
  <c r="F45" i="15"/>
  <c r="F50" i="15"/>
  <c r="N45" i="15"/>
  <c r="I51" i="15"/>
  <c r="C47" i="15"/>
  <c r="O51" i="15"/>
  <c r="C33" i="15"/>
  <c r="C37" i="15"/>
  <c r="D47" i="15"/>
  <c r="E52" i="15"/>
  <c r="C36" i="15"/>
  <c r="F47" i="15"/>
  <c r="F52" i="15"/>
  <c r="G47" i="15"/>
  <c r="D53" i="15"/>
  <c r="C32" i="15"/>
  <c r="N47" i="15"/>
  <c r="G53" i="15"/>
  <c r="E48" i="15"/>
  <c r="I54" i="15"/>
  <c r="C30" i="15"/>
  <c r="F48" i="15"/>
  <c r="L54" i="15"/>
  <c r="C29" i="15"/>
  <c r="C28" i="15"/>
  <c r="I48" i="15"/>
  <c r="F55" i="15"/>
  <c r="G48" i="15"/>
  <c r="I49" i="15"/>
  <c r="K55" i="15"/>
  <c r="J38" i="15"/>
  <c r="J49" i="15"/>
  <c r="N56" i="15"/>
  <c r="E55" i="15"/>
  <c r="L52" i="15"/>
  <c r="L55" i="15"/>
  <c r="O45" i="15"/>
  <c r="L49" i="15"/>
  <c r="M52" i="15"/>
  <c r="M55" i="15"/>
  <c r="M49" i="15"/>
  <c r="N52" i="15"/>
  <c r="N55" i="15"/>
  <c r="N49" i="15"/>
  <c r="O55" i="15"/>
  <c r="M45" i="15"/>
  <c r="E47" i="15"/>
  <c r="O49" i="15"/>
  <c r="E53" i="15"/>
  <c r="G56" i="15"/>
  <c r="E50" i="15"/>
  <c r="F53" i="15"/>
  <c r="I56" i="15"/>
  <c r="M47" i="15"/>
  <c r="G50" i="15"/>
  <c r="I53" i="15"/>
  <c r="O56" i="15"/>
  <c r="E57" i="15"/>
  <c r="L50" i="15"/>
  <c r="O53" i="15"/>
  <c r="O47" i="15"/>
  <c r="M50" i="15"/>
  <c r="G54" i="15"/>
  <c r="M57" i="15"/>
  <c r="P46" i="15"/>
  <c r="L38" i="15"/>
  <c r="C52" i="15"/>
  <c r="J54" i="15"/>
  <c r="P56" i="15"/>
  <c r="D52" i="15"/>
  <c r="K54" i="15"/>
  <c r="C57" i="15"/>
  <c r="D57" i="15"/>
  <c r="M38" i="15"/>
  <c r="N38" i="15"/>
  <c r="O38" i="15"/>
  <c r="J53" i="15"/>
  <c r="G52" i="15"/>
  <c r="K53" i="15"/>
  <c r="N54" i="15"/>
  <c r="C56" i="15"/>
  <c r="F57" i="15"/>
  <c r="C46" i="15"/>
  <c r="J48" i="15"/>
  <c r="C51" i="15"/>
  <c r="P55" i="15"/>
  <c r="P38" i="15"/>
  <c r="E46" i="15"/>
  <c r="I47" i="15"/>
  <c r="L48" i="15"/>
  <c r="D51" i="15"/>
  <c r="C45" i="15"/>
  <c r="F46" i="15"/>
  <c r="J47" i="15"/>
  <c r="M48" i="15"/>
  <c r="P49" i="15"/>
  <c r="E51" i="15"/>
  <c r="I52" i="15"/>
  <c r="L53" i="15"/>
  <c r="O54" i="15"/>
  <c r="D56" i="15"/>
  <c r="G57" i="15"/>
  <c r="P45" i="15"/>
  <c r="P50" i="15"/>
  <c r="D46" i="15"/>
  <c r="D45" i="15"/>
  <c r="G46" i="15"/>
  <c r="K47" i="15"/>
  <c r="N48" i="15"/>
  <c r="C50" i="15"/>
  <c r="F51" i="15"/>
  <c r="J52" i="15"/>
  <c r="M53" i="15"/>
  <c r="P54" i="15"/>
  <c r="E56" i="15"/>
  <c r="I57" i="15"/>
  <c r="K48" i="15"/>
  <c r="B38" i="15"/>
  <c r="E45" i="15"/>
  <c r="I46" i="15"/>
  <c r="L47" i="15"/>
  <c r="O48" i="15"/>
  <c r="D50" i="15"/>
  <c r="G51" i="15"/>
  <c r="K52" i="15"/>
  <c r="N53" i="15"/>
  <c r="C55" i="15"/>
  <c r="F56" i="15"/>
  <c r="J57" i="15"/>
  <c r="D55" i="15"/>
  <c r="K57" i="15"/>
  <c r="K46" i="15"/>
  <c r="L57" i="15"/>
  <c r="J46" i="15"/>
  <c r="P51" i="15"/>
  <c r="J51" i="15"/>
  <c r="F38" i="15"/>
  <c r="J45" i="15"/>
  <c r="M46" i="15"/>
  <c r="P47" i="15"/>
  <c r="E49" i="15"/>
  <c r="I50" i="15"/>
  <c r="L51" i="15"/>
  <c r="O52" i="15"/>
  <c r="D54" i="15"/>
  <c r="G55" i="15"/>
  <c r="K56" i="15"/>
  <c r="N57" i="15"/>
  <c r="P48" i="15"/>
  <c r="C49" i="15"/>
  <c r="P53" i="15"/>
  <c r="D49" i="15"/>
  <c r="C54" i="15"/>
  <c r="G38" i="15"/>
  <c r="K45" i="15"/>
  <c r="N46" i="15"/>
  <c r="C48" i="15"/>
  <c r="F49" i="15"/>
  <c r="J50" i="15"/>
  <c r="M51" i="15"/>
  <c r="P52" i="15"/>
  <c r="I55" i="15"/>
  <c r="L56" i="15"/>
  <c r="O57" i="15"/>
  <c r="D38" i="15"/>
  <c r="L46" i="15"/>
  <c r="K51" i="15"/>
  <c r="J56" i="15"/>
  <c r="E18" i="14"/>
  <c r="F18" i="14"/>
  <c r="F54" i="14" s="1"/>
  <c r="G18" i="14"/>
  <c r="G54" i="14" s="1"/>
  <c r="H18" i="14"/>
  <c r="H49" i="14" s="1"/>
  <c r="I18" i="14"/>
  <c r="I55" i="14" s="1"/>
  <c r="J18" i="14"/>
  <c r="J55" i="14" s="1"/>
  <c r="K18" i="14"/>
  <c r="K50" i="14" s="1"/>
  <c r="L18" i="14"/>
  <c r="L45" i="14" s="1"/>
  <c r="M18" i="14"/>
  <c r="M56" i="14" s="1"/>
  <c r="N18" i="14"/>
  <c r="N51" i="14" s="1"/>
  <c r="O18" i="14"/>
  <c r="O46" i="14" s="1"/>
  <c r="D18" i="14"/>
  <c r="D53" i="14" s="1"/>
  <c r="E18" i="12"/>
  <c r="F18" i="12"/>
  <c r="G18" i="12"/>
  <c r="H18" i="12"/>
  <c r="I18" i="12"/>
  <c r="J18" i="12"/>
  <c r="K18" i="12"/>
  <c r="L18" i="12"/>
  <c r="M18" i="12"/>
  <c r="N18" i="12"/>
  <c r="O18" i="12"/>
  <c r="D18" i="12"/>
  <c r="O37" i="14"/>
  <c r="N37" i="14"/>
  <c r="M37" i="14"/>
  <c r="L37" i="14"/>
  <c r="K37" i="14"/>
  <c r="J37" i="14"/>
  <c r="I37" i="14"/>
  <c r="H37" i="14"/>
  <c r="G37" i="14"/>
  <c r="F37" i="14"/>
  <c r="E37" i="14"/>
  <c r="D37" i="14"/>
  <c r="B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B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B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B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B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B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B31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B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B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B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B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B26" i="14"/>
  <c r="E48" i="14"/>
  <c r="C18" i="14"/>
  <c r="C53" i="14" s="1"/>
  <c r="B18" i="14"/>
  <c r="B38" i="14" s="1"/>
  <c r="C38" i="15" l="1"/>
  <c r="J49" i="14"/>
  <c r="C36" i="14"/>
  <c r="K49" i="14"/>
  <c r="N50" i="14"/>
  <c r="O50" i="14"/>
  <c r="K53" i="14"/>
  <c r="C26" i="14"/>
  <c r="F52" i="14"/>
  <c r="G52" i="14"/>
  <c r="C34" i="14"/>
  <c r="I52" i="14"/>
  <c r="L54" i="14"/>
  <c r="K38" i="14"/>
  <c r="M54" i="14"/>
  <c r="N54" i="14"/>
  <c r="O45" i="14"/>
  <c r="O54" i="14"/>
  <c r="I48" i="14"/>
  <c r="K55" i="14"/>
  <c r="C37" i="14"/>
  <c r="M48" i="14"/>
  <c r="O56" i="14"/>
  <c r="H52" i="14"/>
  <c r="C33" i="14"/>
  <c r="I49" i="14"/>
  <c r="E47" i="14"/>
  <c r="L49" i="14"/>
  <c r="G47" i="14"/>
  <c r="L55" i="14"/>
  <c r="C29" i="14"/>
  <c r="C35" i="14"/>
  <c r="H47" i="14"/>
  <c r="N49" i="14"/>
  <c r="G53" i="14"/>
  <c r="M55" i="14"/>
  <c r="C47" i="14"/>
  <c r="I47" i="14"/>
  <c r="O49" i="14"/>
  <c r="H53" i="14"/>
  <c r="N55" i="14"/>
  <c r="F47" i="14"/>
  <c r="E53" i="14"/>
  <c r="M49" i="14"/>
  <c r="F53" i="14"/>
  <c r="C32" i="14"/>
  <c r="J47" i="14"/>
  <c r="L50" i="14"/>
  <c r="I53" i="14"/>
  <c r="O55" i="14"/>
  <c r="C28" i="14"/>
  <c r="C31" i="14"/>
  <c r="F48" i="14"/>
  <c r="M50" i="14"/>
  <c r="J53" i="14"/>
  <c r="N56" i="14"/>
  <c r="C27" i="14"/>
  <c r="O51" i="14"/>
  <c r="J48" i="14"/>
  <c r="C52" i="14"/>
  <c r="I54" i="14"/>
  <c r="G57" i="14"/>
  <c r="C30" i="14"/>
  <c r="G48" i="14"/>
  <c r="H54" i="14"/>
  <c r="M45" i="14"/>
  <c r="K48" i="14"/>
  <c r="D52" i="14"/>
  <c r="J54" i="14"/>
  <c r="H57" i="14"/>
  <c r="D47" i="14"/>
  <c r="H48" i="14"/>
  <c r="L53" i="14"/>
  <c r="E57" i="14"/>
  <c r="F57" i="14"/>
  <c r="N45" i="14"/>
  <c r="L48" i="14"/>
  <c r="E52" i="14"/>
  <c r="K54" i="14"/>
  <c r="M38" i="14"/>
  <c r="C46" i="14"/>
  <c r="E51" i="14"/>
  <c r="E45" i="14"/>
  <c r="H46" i="14"/>
  <c r="K47" i="14"/>
  <c r="N48" i="14"/>
  <c r="D50" i="14"/>
  <c r="G51" i="14"/>
  <c r="J52" i="14"/>
  <c r="M53" i="14"/>
  <c r="C55" i="14"/>
  <c r="F56" i="14"/>
  <c r="I57" i="14"/>
  <c r="D46" i="14"/>
  <c r="C56" i="14"/>
  <c r="D38" i="14"/>
  <c r="F45" i="14"/>
  <c r="I46" i="14"/>
  <c r="L47" i="14"/>
  <c r="O48" i="14"/>
  <c r="E50" i="14"/>
  <c r="H51" i="14"/>
  <c r="K52" i="14"/>
  <c r="N53" i="14"/>
  <c r="D55" i="14"/>
  <c r="G56" i="14"/>
  <c r="J57" i="14"/>
  <c r="C57" i="14"/>
  <c r="N38" i="14"/>
  <c r="D45" i="14"/>
  <c r="C50" i="14"/>
  <c r="E38" i="14"/>
  <c r="G45" i="14"/>
  <c r="J46" i="14"/>
  <c r="M47" i="14"/>
  <c r="C49" i="14"/>
  <c r="F50" i="14"/>
  <c r="I51" i="14"/>
  <c r="L52" i="14"/>
  <c r="O53" i="14"/>
  <c r="E55" i="14"/>
  <c r="H56" i="14"/>
  <c r="K57" i="14"/>
  <c r="C51" i="14"/>
  <c r="F38" i="14"/>
  <c r="H45" i="14"/>
  <c r="K46" i="14"/>
  <c r="N47" i="14"/>
  <c r="D49" i="14"/>
  <c r="G50" i="14"/>
  <c r="J51" i="14"/>
  <c r="M52" i="14"/>
  <c r="C54" i="14"/>
  <c r="F55" i="14"/>
  <c r="I56" i="14"/>
  <c r="L57" i="14"/>
  <c r="D57" i="14"/>
  <c r="O38" i="14"/>
  <c r="C45" i="14"/>
  <c r="D56" i="14"/>
  <c r="F51" i="14"/>
  <c r="G38" i="14"/>
  <c r="I45" i="14"/>
  <c r="L46" i="14"/>
  <c r="O47" i="14"/>
  <c r="E49" i="14"/>
  <c r="H50" i="14"/>
  <c r="K51" i="14"/>
  <c r="N52" i="14"/>
  <c r="D54" i="14"/>
  <c r="G55" i="14"/>
  <c r="J56" i="14"/>
  <c r="M57" i="14"/>
  <c r="L38" i="14"/>
  <c r="H38" i="14"/>
  <c r="J45" i="14"/>
  <c r="M46" i="14"/>
  <c r="C48" i="14"/>
  <c r="F49" i="14"/>
  <c r="I50" i="14"/>
  <c r="L51" i="14"/>
  <c r="O52" i="14"/>
  <c r="E54" i="14"/>
  <c r="H55" i="14"/>
  <c r="K56" i="14"/>
  <c r="N57" i="14"/>
  <c r="F46" i="14"/>
  <c r="G46" i="14"/>
  <c r="E56" i="14"/>
  <c r="I38" i="14"/>
  <c r="K45" i="14"/>
  <c r="N46" i="14"/>
  <c r="D48" i="14"/>
  <c r="G49" i="14"/>
  <c r="J50" i="14"/>
  <c r="M51" i="14"/>
  <c r="L56" i="14"/>
  <c r="O57" i="14"/>
  <c r="E46" i="14"/>
  <c r="D51" i="14"/>
  <c r="J38" i="14"/>
  <c r="E18" i="13"/>
  <c r="E57" i="13" s="1"/>
  <c r="F18" i="13"/>
  <c r="F55" i="13" s="1"/>
  <c r="G18" i="13"/>
  <c r="G56" i="13" s="1"/>
  <c r="H18" i="13"/>
  <c r="H57" i="13" s="1"/>
  <c r="I18" i="13"/>
  <c r="I48" i="13" s="1"/>
  <c r="J18" i="13"/>
  <c r="J57" i="13" s="1"/>
  <c r="K18" i="13"/>
  <c r="K56" i="13" s="1"/>
  <c r="L18" i="13"/>
  <c r="L57" i="13" s="1"/>
  <c r="M18" i="13"/>
  <c r="M57" i="13" s="1"/>
  <c r="N18" i="13"/>
  <c r="N57" i="13" s="1"/>
  <c r="O18" i="13"/>
  <c r="O56" i="13" s="1"/>
  <c r="D18" i="13"/>
  <c r="D57" i="13" s="1"/>
  <c r="J54" i="13"/>
  <c r="J53" i="13"/>
  <c r="I53" i="13"/>
  <c r="E53" i="13"/>
  <c r="I50" i="13"/>
  <c r="J49" i="13"/>
  <c r="I49" i="13"/>
  <c r="E49" i="13"/>
  <c r="D49" i="13"/>
  <c r="I45" i="13"/>
  <c r="E45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B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B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B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B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B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B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B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B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B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B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B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B26" i="13"/>
  <c r="B18" i="13"/>
  <c r="M49" i="13" l="1"/>
  <c r="K50" i="13"/>
  <c r="J46" i="13"/>
  <c r="M50" i="13"/>
  <c r="G55" i="13"/>
  <c r="J45" i="13"/>
  <c r="J51" i="13"/>
  <c r="E47" i="13"/>
  <c r="K51" i="13"/>
  <c r="M55" i="13"/>
  <c r="J50" i="13"/>
  <c r="E56" i="13"/>
  <c r="J47" i="13"/>
  <c r="O51" i="13"/>
  <c r="J56" i="13"/>
  <c r="M53" i="13"/>
  <c r="J55" i="13"/>
  <c r="M51" i="13"/>
  <c r="M47" i="13"/>
  <c r="I52" i="13"/>
  <c r="M56" i="13"/>
  <c r="M45" i="13"/>
  <c r="M46" i="13"/>
  <c r="I47" i="13"/>
  <c r="J48" i="13"/>
  <c r="J52" i="13"/>
  <c r="M52" i="13"/>
  <c r="M54" i="13"/>
  <c r="M38" i="13"/>
  <c r="O54" i="13"/>
  <c r="M48" i="13"/>
  <c r="N52" i="13"/>
  <c r="N53" i="13"/>
  <c r="N54" i="13"/>
  <c r="N50" i="13"/>
  <c r="N47" i="13"/>
  <c r="N51" i="13"/>
  <c r="N48" i="13"/>
  <c r="N55" i="13"/>
  <c r="N56" i="13"/>
  <c r="N49" i="13"/>
  <c r="N45" i="13"/>
  <c r="N46" i="13"/>
  <c r="I55" i="13"/>
  <c r="I46" i="13"/>
  <c r="I56" i="13"/>
  <c r="I57" i="13"/>
  <c r="I54" i="13"/>
  <c r="I51" i="13"/>
  <c r="G50" i="13"/>
  <c r="F50" i="13"/>
  <c r="F45" i="13"/>
  <c r="F56" i="13"/>
  <c r="F48" i="13"/>
  <c r="F51" i="13"/>
  <c r="F53" i="13"/>
  <c r="F54" i="13"/>
  <c r="F57" i="13"/>
  <c r="F49" i="13"/>
  <c r="F52" i="13"/>
  <c r="F46" i="13"/>
  <c r="F47" i="13"/>
  <c r="C38" i="14"/>
  <c r="E46" i="13"/>
  <c r="E48" i="13"/>
  <c r="E55" i="13"/>
  <c r="E50" i="13"/>
  <c r="E51" i="13"/>
  <c r="E52" i="13"/>
  <c r="E54" i="13"/>
  <c r="G51" i="13"/>
  <c r="K54" i="13"/>
  <c r="O55" i="13"/>
  <c r="D45" i="13"/>
  <c r="O50" i="13"/>
  <c r="G54" i="13"/>
  <c r="K55" i="13"/>
  <c r="D48" i="13"/>
  <c r="D47" i="13"/>
  <c r="L52" i="13"/>
  <c r="L56" i="13"/>
  <c r="D46" i="13"/>
  <c r="H52" i="13"/>
  <c r="H56" i="13"/>
  <c r="L51" i="13"/>
  <c r="H55" i="13"/>
  <c r="G45" i="13"/>
  <c r="K45" i="13"/>
  <c r="O45" i="13"/>
  <c r="G46" i="13"/>
  <c r="K46" i="13"/>
  <c r="O46" i="13"/>
  <c r="G47" i="13"/>
  <c r="K47" i="13"/>
  <c r="O47" i="13"/>
  <c r="G48" i="13"/>
  <c r="K48" i="13"/>
  <c r="O48" i="13"/>
  <c r="G49" i="13"/>
  <c r="K49" i="13"/>
  <c r="O49" i="13"/>
  <c r="H50" i="13"/>
  <c r="L50" i="13"/>
  <c r="G53" i="13"/>
  <c r="K53" i="13"/>
  <c r="O53" i="13"/>
  <c r="H54" i="13"/>
  <c r="L54" i="13"/>
  <c r="G57" i="13"/>
  <c r="K57" i="13"/>
  <c r="O57" i="13"/>
  <c r="H51" i="13"/>
  <c r="L55" i="13"/>
  <c r="H45" i="13"/>
  <c r="L45" i="13"/>
  <c r="H46" i="13"/>
  <c r="L46" i="13"/>
  <c r="H47" i="13"/>
  <c r="L47" i="13"/>
  <c r="H48" i="13"/>
  <c r="L48" i="13"/>
  <c r="H49" i="13"/>
  <c r="L49" i="13"/>
  <c r="G52" i="13"/>
  <c r="K52" i="13"/>
  <c r="O52" i="13"/>
  <c r="H53" i="13"/>
  <c r="L53" i="13"/>
  <c r="D50" i="13"/>
  <c r="D51" i="13"/>
  <c r="D52" i="13"/>
  <c r="D53" i="13"/>
  <c r="D54" i="13"/>
  <c r="D55" i="13"/>
  <c r="D56" i="13"/>
  <c r="C29" i="13"/>
  <c r="C33" i="13"/>
  <c r="C37" i="13"/>
  <c r="N38" i="13"/>
  <c r="F38" i="13"/>
  <c r="O38" i="13"/>
  <c r="B38" i="13"/>
  <c r="G38" i="13"/>
  <c r="K38" i="13"/>
  <c r="C32" i="13"/>
  <c r="C36" i="13"/>
  <c r="C28" i="13"/>
  <c r="C31" i="13"/>
  <c r="C27" i="13"/>
  <c r="C35" i="13"/>
  <c r="C26" i="13"/>
  <c r="C30" i="13"/>
  <c r="C34" i="13"/>
  <c r="J38" i="13"/>
  <c r="D38" i="13"/>
  <c r="H38" i="13"/>
  <c r="L38" i="13"/>
  <c r="C18" i="13"/>
  <c r="C51" i="13" s="1"/>
  <c r="E38" i="13"/>
  <c r="I38" i="13"/>
  <c r="C7" i="12"/>
  <c r="C8" i="12"/>
  <c r="C9" i="12"/>
  <c r="C10" i="12"/>
  <c r="C11" i="12"/>
  <c r="C12" i="12"/>
  <c r="C13" i="12"/>
  <c r="C14" i="12"/>
  <c r="C15" i="12"/>
  <c r="C16" i="12"/>
  <c r="C17" i="12"/>
  <c r="B18" i="12"/>
  <c r="C6" i="12"/>
  <c r="B18" i="10"/>
  <c r="E18" i="10"/>
  <c r="F18" i="10"/>
  <c r="C18" i="10" s="1"/>
  <c r="G18" i="10"/>
  <c r="H18" i="10"/>
  <c r="I18" i="10"/>
  <c r="J18" i="10"/>
  <c r="K18" i="10"/>
  <c r="L18" i="10"/>
  <c r="M18" i="10"/>
  <c r="N18" i="10"/>
  <c r="O18" i="10"/>
  <c r="D18" i="10"/>
  <c r="C7" i="10"/>
  <c r="C8" i="10"/>
  <c r="C9" i="10"/>
  <c r="C10" i="10"/>
  <c r="C11" i="10"/>
  <c r="C12" i="10"/>
  <c r="C13" i="10"/>
  <c r="C14" i="10"/>
  <c r="C15" i="10"/>
  <c r="C16" i="10"/>
  <c r="C17" i="10"/>
  <c r="C6" i="10"/>
  <c r="D26" i="5"/>
  <c r="D18" i="5"/>
  <c r="C7" i="5"/>
  <c r="C8" i="5"/>
  <c r="C9" i="5"/>
  <c r="C10" i="5"/>
  <c r="C11" i="5"/>
  <c r="C12" i="5"/>
  <c r="C13" i="5"/>
  <c r="C14" i="5"/>
  <c r="C15" i="5"/>
  <c r="C16" i="5"/>
  <c r="C17" i="5"/>
  <c r="C6" i="5"/>
  <c r="C18" i="5" l="1"/>
  <c r="C18" i="12"/>
  <c r="C52" i="13"/>
  <c r="C53" i="13"/>
  <c r="C48" i="13"/>
  <c r="C55" i="13"/>
  <c r="C38" i="13"/>
  <c r="C45" i="13"/>
  <c r="C57" i="13"/>
  <c r="C54" i="13"/>
  <c r="C46" i="13"/>
  <c r="C50" i="13"/>
  <c r="C49" i="13"/>
  <c r="C56" i="13"/>
  <c r="C47" i="13"/>
  <c r="D26" i="12"/>
  <c r="F27" i="10" l="1"/>
  <c r="O57" i="12" l="1"/>
  <c r="N57" i="12"/>
  <c r="M57" i="12"/>
  <c r="L57" i="12"/>
  <c r="K57" i="12"/>
  <c r="J57" i="12"/>
  <c r="I57" i="12"/>
  <c r="H57" i="12"/>
  <c r="G57" i="12"/>
  <c r="F57" i="12"/>
  <c r="E57" i="12"/>
  <c r="C57" i="12"/>
  <c r="O56" i="12"/>
  <c r="N56" i="12"/>
  <c r="M56" i="12"/>
  <c r="L56" i="12"/>
  <c r="K56" i="12"/>
  <c r="J56" i="12"/>
  <c r="I56" i="12"/>
  <c r="H56" i="12"/>
  <c r="G56" i="12"/>
  <c r="F56" i="12"/>
  <c r="E56" i="12"/>
  <c r="C56" i="12"/>
  <c r="O55" i="12"/>
  <c r="N55" i="12"/>
  <c r="M55" i="12"/>
  <c r="L55" i="12"/>
  <c r="K55" i="12"/>
  <c r="J55" i="12"/>
  <c r="I55" i="12"/>
  <c r="H55" i="12"/>
  <c r="G55" i="12"/>
  <c r="F55" i="12"/>
  <c r="E55" i="12"/>
  <c r="C55" i="12"/>
  <c r="O54" i="12"/>
  <c r="N54" i="12"/>
  <c r="M54" i="12"/>
  <c r="L54" i="12"/>
  <c r="K54" i="12"/>
  <c r="J54" i="12"/>
  <c r="I54" i="12"/>
  <c r="H54" i="12"/>
  <c r="G54" i="12"/>
  <c r="F54" i="12"/>
  <c r="E54" i="12"/>
  <c r="C54" i="12"/>
  <c r="O53" i="12"/>
  <c r="N53" i="12"/>
  <c r="M53" i="12"/>
  <c r="L53" i="12"/>
  <c r="K53" i="12"/>
  <c r="J53" i="12"/>
  <c r="I53" i="12"/>
  <c r="H53" i="12"/>
  <c r="G53" i="12"/>
  <c r="F53" i="12"/>
  <c r="E53" i="12"/>
  <c r="C53" i="12"/>
  <c r="O52" i="12"/>
  <c r="N52" i="12"/>
  <c r="M52" i="12"/>
  <c r="L52" i="12"/>
  <c r="K52" i="12"/>
  <c r="J52" i="12"/>
  <c r="I52" i="12"/>
  <c r="H52" i="12"/>
  <c r="G52" i="12"/>
  <c r="F52" i="12"/>
  <c r="E52" i="12"/>
  <c r="C52" i="12"/>
  <c r="O51" i="12"/>
  <c r="N51" i="12"/>
  <c r="M51" i="12"/>
  <c r="L51" i="12"/>
  <c r="K51" i="12"/>
  <c r="J51" i="12"/>
  <c r="I51" i="12"/>
  <c r="H51" i="12"/>
  <c r="G51" i="12"/>
  <c r="F51" i="12"/>
  <c r="E51" i="12"/>
  <c r="C51" i="12"/>
  <c r="O50" i="12"/>
  <c r="N50" i="12"/>
  <c r="M50" i="12"/>
  <c r="L50" i="12"/>
  <c r="K50" i="12"/>
  <c r="J50" i="12"/>
  <c r="I50" i="12"/>
  <c r="H50" i="12"/>
  <c r="G50" i="12"/>
  <c r="F50" i="12"/>
  <c r="E50" i="12"/>
  <c r="C50" i="12"/>
  <c r="O49" i="12"/>
  <c r="N49" i="12"/>
  <c r="M49" i="12"/>
  <c r="L49" i="12"/>
  <c r="K49" i="12"/>
  <c r="J49" i="12"/>
  <c r="I49" i="12"/>
  <c r="H49" i="12"/>
  <c r="G49" i="12"/>
  <c r="F49" i="12"/>
  <c r="E49" i="12"/>
  <c r="C49" i="12"/>
  <c r="O48" i="12"/>
  <c r="N48" i="12"/>
  <c r="M48" i="12"/>
  <c r="L48" i="12"/>
  <c r="K48" i="12"/>
  <c r="J48" i="12"/>
  <c r="I48" i="12"/>
  <c r="H48" i="12"/>
  <c r="G48" i="12"/>
  <c r="F48" i="12"/>
  <c r="E48" i="12"/>
  <c r="C48" i="12"/>
  <c r="O47" i="12"/>
  <c r="N47" i="12"/>
  <c r="M47" i="12"/>
  <c r="L47" i="12"/>
  <c r="K47" i="12"/>
  <c r="J47" i="12"/>
  <c r="I47" i="12"/>
  <c r="H47" i="12"/>
  <c r="G47" i="12"/>
  <c r="F47" i="12"/>
  <c r="E47" i="12"/>
  <c r="C47" i="12"/>
  <c r="O46" i="12"/>
  <c r="N46" i="12"/>
  <c r="M46" i="12"/>
  <c r="L46" i="12"/>
  <c r="K46" i="12"/>
  <c r="J46" i="12"/>
  <c r="I46" i="12"/>
  <c r="H46" i="12"/>
  <c r="G46" i="12"/>
  <c r="F46" i="12"/>
  <c r="E46" i="12"/>
  <c r="C46" i="12"/>
  <c r="O45" i="12"/>
  <c r="N45" i="12"/>
  <c r="M45" i="12"/>
  <c r="L45" i="12"/>
  <c r="K45" i="12"/>
  <c r="J45" i="12"/>
  <c r="I45" i="12"/>
  <c r="H45" i="12"/>
  <c r="G45" i="12"/>
  <c r="F45" i="12"/>
  <c r="E45" i="12"/>
  <c r="C45" i="12"/>
  <c r="O38" i="12"/>
  <c r="N38" i="12"/>
  <c r="M38" i="12"/>
  <c r="L38" i="12"/>
  <c r="K38" i="12"/>
  <c r="J38" i="12"/>
  <c r="I38" i="12"/>
  <c r="H38" i="12"/>
  <c r="G38" i="12"/>
  <c r="F38" i="12"/>
  <c r="E38" i="12"/>
  <c r="B38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B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B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B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B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B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B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B31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 s="1"/>
  <c r="B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B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B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B27" i="12"/>
  <c r="O26" i="12"/>
  <c r="N26" i="12"/>
  <c r="M26" i="12"/>
  <c r="L26" i="12"/>
  <c r="K26" i="12"/>
  <c r="J26" i="12"/>
  <c r="I26" i="12"/>
  <c r="H26" i="12"/>
  <c r="G26" i="12"/>
  <c r="F26" i="12"/>
  <c r="E26" i="12"/>
  <c r="B26" i="12"/>
  <c r="J57" i="10"/>
  <c r="F57" i="10"/>
  <c r="E57" i="10"/>
  <c r="O56" i="10"/>
  <c r="K56" i="10"/>
  <c r="I56" i="10"/>
  <c r="G56" i="10"/>
  <c r="E56" i="10"/>
  <c r="D56" i="10"/>
  <c r="C56" i="10"/>
  <c r="O55" i="10"/>
  <c r="N55" i="10"/>
  <c r="K55" i="10"/>
  <c r="J55" i="10"/>
  <c r="H55" i="10"/>
  <c r="G55" i="10"/>
  <c r="F55" i="10"/>
  <c r="C55" i="10"/>
  <c r="O54" i="10"/>
  <c r="N54" i="10"/>
  <c r="M54" i="10"/>
  <c r="K54" i="10"/>
  <c r="J54" i="10"/>
  <c r="I54" i="10"/>
  <c r="G54" i="10"/>
  <c r="C54" i="10"/>
  <c r="N53" i="10"/>
  <c r="M53" i="10"/>
  <c r="L53" i="10"/>
  <c r="F53" i="10"/>
  <c r="O52" i="10"/>
  <c r="K52" i="10"/>
  <c r="G52" i="10"/>
  <c r="E52" i="10"/>
  <c r="C52" i="10"/>
  <c r="O51" i="10"/>
  <c r="K51" i="10"/>
  <c r="J51" i="10"/>
  <c r="G51" i="10"/>
  <c r="F51" i="10"/>
  <c r="D51" i="10"/>
  <c r="C51" i="10"/>
  <c r="O50" i="10"/>
  <c r="N50" i="10"/>
  <c r="K50" i="10"/>
  <c r="J50" i="10"/>
  <c r="I50" i="10"/>
  <c r="G50" i="10"/>
  <c r="F50" i="10"/>
  <c r="E50" i="10"/>
  <c r="C50" i="10"/>
  <c r="N49" i="10"/>
  <c r="M49" i="10"/>
  <c r="J49" i="10"/>
  <c r="I49" i="10"/>
  <c r="H49" i="10"/>
  <c r="O48" i="10"/>
  <c r="M48" i="10"/>
  <c r="L48" i="10"/>
  <c r="K48" i="10"/>
  <c r="G48" i="10"/>
  <c r="C48" i="10"/>
  <c r="O47" i="10"/>
  <c r="N47" i="10"/>
  <c r="K47" i="10"/>
  <c r="G47" i="10"/>
  <c r="F47" i="10"/>
  <c r="C47" i="10"/>
  <c r="O46" i="10"/>
  <c r="K46" i="10"/>
  <c r="J46" i="10"/>
  <c r="G46" i="10"/>
  <c r="F46" i="10"/>
  <c r="E46" i="10"/>
  <c r="C46" i="10"/>
  <c r="N45" i="10"/>
  <c r="J45" i="10"/>
  <c r="I45" i="10"/>
  <c r="F45" i="10"/>
  <c r="E45" i="10"/>
  <c r="D45" i="10"/>
  <c r="N38" i="10"/>
  <c r="J38" i="10"/>
  <c r="I38" i="10"/>
  <c r="F38" i="10"/>
  <c r="E38" i="10"/>
  <c r="D38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B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B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B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B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B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B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B31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B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B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B28" i="10"/>
  <c r="O27" i="10"/>
  <c r="N27" i="10"/>
  <c r="M27" i="10"/>
  <c r="L27" i="10"/>
  <c r="K27" i="10"/>
  <c r="J27" i="10"/>
  <c r="I27" i="10"/>
  <c r="H27" i="10"/>
  <c r="G27" i="10"/>
  <c r="E27" i="10"/>
  <c r="D27" i="10"/>
  <c r="B27" i="10"/>
  <c r="O26" i="10"/>
  <c r="N26" i="10"/>
  <c r="M26" i="10"/>
  <c r="L26" i="10"/>
  <c r="K26" i="10"/>
  <c r="J26" i="10"/>
  <c r="I26" i="10"/>
  <c r="G26" i="10"/>
  <c r="E26" i="10"/>
  <c r="D26" i="10"/>
  <c r="B26" i="10"/>
  <c r="O57" i="10"/>
  <c r="C57" i="10"/>
  <c r="B38" i="10"/>
  <c r="D47" i="5"/>
  <c r="F18" i="5"/>
  <c r="G18" i="5"/>
  <c r="H18" i="5"/>
  <c r="I18" i="5"/>
  <c r="J18" i="5"/>
  <c r="K18" i="5"/>
  <c r="L18" i="5"/>
  <c r="M18" i="5"/>
  <c r="N18" i="5"/>
  <c r="O18" i="5"/>
  <c r="E18" i="5"/>
  <c r="E45" i="5" s="1"/>
  <c r="B27" i="5"/>
  <c r="B28" i="5"/>
  <c r="B29" i="5"/>
  <c r="B30" i="5"/>
  <c r="B31" i="5"/>
  <c r="B32" i="5"/>
  <c r="B33" i="5"/>
  <c r="B34" i="5"/>
  <c r="B35" i="5"/>
  <c r="B36" i="5"/>
  <c r="B37" i="5"/>
  <c r="B26" i="5"/>
  <c r="D48" i="5"/>
  <c r="D52" i="5"/>
  <c r="D56" i="5"/>
  <c r="F27" i="5"/>
  <c r="E28" i="5"/>
  <c r="F28" i="5"/>
  <c r="G28" i="5"/>
  <c r="H28" i="5"/>
  <c r="I28" i="5"/>
  <c r="J28" i="5"/>
  <c r="K28" i="5"/>
  <c r="L28" i="5"/>
  <c r="M28" i="5"/>
  <c r="N28" i="5"/>
  <c r="O28" i="5"/>
  <c r="E29" i="5"/>
  <c r="F29" i="5"/>
  <c r="G29" i="5"/>
  <c r="H29" i="5"/>
  <c r="I29" i="5"/>
  <c r="J29" i="5"/>
  <c r="K29" i="5"/>
  <c r="L29" i="5"/>
  <c r="M29" i="5"/>
  <c r="N29" i="5"/>
  <c r="O29" i="5"/>
  <c r="E30" i="5"/>
  <c r="F30" i="5"/>
  <c r="G30" i="5"/>
  <c r="H30" i="5"/>
  <c r="I30" i="5"/>
  <c r="J30" i="5"/>
  <c r="K30" i="5"/>
  <c r="L30" i="5"/>
  <c r="M30" i="5"/>
  <c r="N30" i="5"/>
  <c r="O30" i="5"/>
  <c r="E31" i="5"/>
  <c r="F31" i="5"/>
  <c r="G31" i="5"/>
  <c r="H31" i="5"/>
  <c r="I31" i="5"/>
  <c r="J31" i="5"/>
  <c r="K31" i="5"/>
  <c r="L31" i="5"/>
  <c r="M31" i="5"/>
  <c r="N31" i="5"/>
  <c r="O31" i="5"/>
  <c r="E32" i="5"/>
  <c r="F32" i="5"/>
  <c r="G32" i="5"/>
  <c r="H32" i="5"/>
  <c r="I32" i="5"/>
  <c r="J32" i="5"/>
  <c r="K32" i="5"/>
  <c r="L32" i="5"/>
  <c r="M32" i="5"/>
  <c r="N32" i="5"/>
  <c r="O32" i="5"/>
  <c r="E33" i="5"/>
  <c r="F33" i="5"/>
  <c r="G33" i="5"/>
  <c r="H33" i="5"/>
  <c r="I33" i="5"/>
  <c r="J33" i="5"/>
  <c r="K33" i="5"/>
  <c r="L33" i="5"/>
  <c r="M33" i="5"/>
  <c r="N33" i="5"/>
  <c r="O33" i="5"/>
  <c r="E34" i="5"/>
  <c r="F34" i="5"/>
  <c r="G34" i="5"/>
  <c r="H34" i="5"/>
  <c r="I34" i="5"/>
  <c r="J34" i="5"/>
  <c r="K34" i="5"/>
  <c r="L34" i="5"/>
  <c r="M34" i="5"/>
  <c r="N34" i="5"/>
  <c r="O34" i="5"/>
  <c r="E35" i="5"/>
  <c r="F35" i="5"/>
  <c r="G35" i="5"/>
  <c r="H35" i="5"/>
  <c r="I35" i="5"/>
  <c r="J35" i="5"/>
  <c r="K35" i="5"/>
  <c r="L35" i="5"/>
  <c r="M35" i="5"/>
  <c r="N35" i="5"/>
  <c r="O35" i="5"/>
  <c r="E36" i="5"/>
  <c r="F36" i="5"/>
  <c r="G36" i="5"/>
  <c r="H36" i="5"/>
  <c r="I36" i="5"/>
  <c r="J36" i="5"/>
  <c r="K36" i="5"/>
  <c r="L36" i="5"/>
  <c r="M36" i="5"/>
  <c r="N36" i="5"/>
  <c r="O36" i="5"/>
  <c r="E37" i="5"/>
  <c r="F37" i="5"/>
  <c r="G37" i="5"/>
  <c r="H37" i="5"/>
  <c r="I37" i="5"/>
  <c r="J37" i="5"/>
  <c r="K37" i="5"/>
  <c r="L37" i="5"/>
  <c r="M37" i="5"/>
  <c r="N37" i="5"/>
  <c r="O37" i="5"/>
  <c r="D37" i="5"/>
  <c r="D36" i="5"/>
  <c r="D34" i="5"/>
  <c r="D35" i="5"/>
  <c r="D33" i="5"/>
  <c r="D32" i="5"/>
  <c r="D31" i="5"/>
  <c r="D30" i="5"/>
  <c r="D29" i="5"/>
  <c r="D28" i="5"/>
  <c r="E27" i="5"/>
  <c r="G27" i="5"/>
  <c r="H27" i="5"/>
  <c r="I27" i="5"/>
  <c r="J27" i="5"/>
  <c r="K27" i="5"/>
  <c r="L27" i="5"/>
  <c r="M27" i="5"/>
  <c r="N27" i="5"/>
  <c r="O27" i="5"/>
  <c r="D27" i="5"/>
  <c r="E26" i="5"/>
  <c r="F26" i="5"/>
  <c r="G26" i="5"/>
  <c r="H26" i="5"/>
  <c r="I26" i="5"/>
  <c r="J26" i="5"/>
  <c r="K26" i="5"/>
  <c r="L26" i="5"/>
  <c r="M26" i="5"/>
  <c r="N26" i="5"/>
  <c r="O26" i="5"/>
  <c r="C26" i="12" l="1"/>
  <c r="C33" i="12"/>
  <c r="C36" i="12"/>
  <c r="C37" i="12"/>
  <c r="C35" i="12"/>
  <c r="C29" i="12"/>
  <c r="C32" i="12"/>
  <c r="C27" i="12"/>
  <c r="C31" i="12"/>
  <c r="C34" i="12"/>
  <c r="C28" i="12"/>
  <c r="D45" i="5"/>
  <c r="D54" i="5"/>
  <c r="D50" i="5"/>
  <c r="D46" i="5"/>
  <c r="D57" i="5"/>
  <c r="D53" i="5"/>
  <c r="D49" i="5"/>
  <c r="D55" i="5"/>
  <c r="D51" i="5"/>
  <c r="C26" i="10"/>
  <c r="C30" i="10"/>
  <c r="C34" i="10"/>
  <c r="C29" i="10"/>
  <c r="C33" i="10"/>
  <c r="C37" i="10"/>
  <c r="D54" i="10"/>
  <c r="D50" i="10"/>
  <c r="D46" i="10"/>
  <c r="H54" i="10"/>
  <c r="H50" i="10"/>
  <c r="H46" i="10"/>
  <c r="L54" i="10"/>
  <c r="L50" i="10"/>
  <c r="L46" i="10"/>
  <c r="L47" i="10"/>
  <c r="H48" i="10"/>
  <c r="D49" i="10"/>
  <c r="L52" i="10"/>
  <c r="H53" i="10"/>
  <c r="D55" i="10"/>
  <c r="L57" i="10"/>
  <c r="E55" i="10"/>
  <c r="E51" i="10"/>
  <c r="E47" i="10"/>
  <c r="I55" i="10"/>
  <c r="I51" i="10"/>
  <c r="I47" i="10"/>
  <c r="M55" i="10"/>
  <c r="M51" i="10"/>
  <c r="M47" i="10"/>
  <c r="C28" i="10"/>
  <c r="C32" i="10"/>
  <c r="C36" i="10"/>
  <c r="L38" i="10"/>
  <c r="L45" i="10"/>
  <c r="M46" i="10"/>
  <c r="H47" i="10"/>
  <c r="D48" i="10"/>
  <c r="I48" i="10"/>
  <c r="E49" i="10"/>
  <c r="L51" i="10"/>
  <c r="H52" i="10"/>
  <c r="M52" i="10"/>
  <c r="D53" i="10"/>
  <c r="I53" i="10"/>
  <c r="E54" i="10"/>
  <c r="L56" i="10"/>
  <c r="H57" i="10"/>
  <c r="M57" i="10"/>
  <c r="F56" i="10"/>
  <c r="F52" i="10"/>
  <c r="F48" i="10"/>
  <c r="J56" i="10"/>
  <c r="J52" i="10"/>
  <c r="J48" i="10"/>
  <c r="N56" i="10"/>
  <c r="N52" i="10"/>
  <c r="N48" i="10"/>
  <c r="C27" i="10"/>
  <c r="C31" i="10"/>
  <c r="C35" i="10"/>
  <c r="H38" i="10"/>
  <c r="M38" i="10"/>
  <c r="H45" i="10"/>
  <c r="M45" i="10"/>
  <c r="I46" i="10"/>
  <c r="N46" i="10"/>
  <c r="D47" i="10"/>
  <c r="J47" i="10"/>
  <c r="E48" i="10"/>
  <c r="F49" i="10"/>
  <c r="L49" i="10"/>
  <c r="M50" i="10"/>
  <c r="H51" i="10"/>
  <c r="N51" i="10"/>
  <c r="D52" i="10"/>
  <c r="I52" i="10"/>
  <c r="E53" i="10"/>
  <c r="J53" i="10"/>
  <c r="F54" i="10"/>
  <c r="L55" i="10"/>
  <c r="H56" i="10"/>
  <c r="M56" i="10"/>
  <c r="D57" i="10"/>
  <c r="I57" i="10"/>
  <c r="N57" i="10"/>
  <c r="G38" i="10"/>
  <c r="K38" i="10"/>
  <c r="O38" i="10"/>
  <c r="C45" i="10"/>
  <c r="G45" i="10"/>
  <c r="K45" i="10"/>
  <c r="O45" i="10"/>
  <c r="C49" i="10"/>
  <c r="G49" i="10"/>
  <c r="K49" i="10"/>
  <c r="O49" i="10"/>
  <c r="C53" i="10"/>
  <c r="G53" i="10"/>
  <c r="K53" i="10"/>
  <c r="O53" i="10"/>
  <c r="G57" i="10"/>
  <c r="K57" i="10"/>
  <c r="C30" i="5"/>
  <c r="C36" i="5"/>
  <c r="C37" i="5"/>
  <c r="C26" i="5"/>
  <c r="C34" i="5"/>
  <c r="C28" i="5"/>
  <c r="C32" i="5"/>
  <c r="C35" i="5"/>
  <c r="C31" i="5"/>
  <c r="C27" i="5"/>
  <c r="C33" i="5"/>
  <c r="C29" i="5"/>
  <c r="C38" i="10" l="1"/>
  <c r="B18" i="5" l="1"/>
  <c r="D38" i="5" l="1"/>
  <c r="E38" i="5"/>
  <c r="C47" i="5"/>
  <c r="C51" i="5"/>
  <c r="C55" i="5"/>
  <c r="C57" i="5"/>
  <c r="C53" i="5"/>
  <c r="C46" i="5"/>
  <c r="C54" i="5"/>
  <c r="C48" i="5"/>
  <c r="C52" i="5"/>
  <c r="C56" i="5"/>
  <c r="C49" i="5"/>
  <c r="C45" i="5"/>
  <c r="C50" i="5"/>
  <c r="M57" i="5"/>
  <c r="M46" i="5"/>
  <c r="M48" i="5"/>
  <c r="M50" i="5"/>
  <c r="M52" i="5"/>
  <c r="M54" i="5"/>
  <c r="M56" i="5"/>
  <c r="M45" i="5"/>
  <c r="M47" i="5"/>
  <c r="M49" i="5"/>
  <c r="M51" i="5"/>
  <c r="M53" i="5"/>
  <c r="M55" i="5"/>
  <c r="B38" i="5"/>
  <c r="O45" i="5"/>
  <c r="O47" i="5"/>
  <c r="O49" i="5"/>
  <c r="O51" i="5"/>
  <c r="O53" i="5"/>
  <c r="O55" i="5"/>
  <c r="O57" i="5"/>
  <c r="O46" i="5"/>
  <c r="O48" i="5"/>
  <c r="O50" i="5"/>
  <c r="O52" i="5"/>
  <c r="O54" i="5"/>
  <c r="O56" i="5"/>
  <c r="N57" i="5"/>
  <c r="N47" i="5"/>
  <c r="N49" i="5"/>
  <c r="N51" i="5"/>
  <c r="N53" i="5"/>
  <c r="N55" i="5"/>
  <c r="N45" i="5"/>
  <c r="N46" i="5"/>
  <c r="N48" i="5"/>
  <c r="N50" i="5"/>
  <c r="N52" i="5"/>
  <c r="N54" i="5"/>
  <c r="N56" i="5"/>
  <c r="O38" i="5"/>
  <c r="M38" i="5"/>
  <c r="N38" i="5"/>
  <c r="J57" i="5" l="1"/>
  <c r="J47" i="5"/>
  <c r="J49" i="5"/>
  <c r="J51" i="5"/>
  <c r="J53" i="5"/>
  <c r="J55" i="5"/>
  <c r="J45" i="5"/>
  <c r="J46" i="5"/>
  <c r="J48" i="5"/>
  <c r="J50" i="5"/>
  <c r="J52" i="5"/>
  <c r="J54" i="5"/>
  <c r="J56" i="5"/>
  <c r="G45" i="5"/>
  <c r="G47" i="5"/>
  <c r="G49" i="5"/>
  <c r="G51" i="5"/>
  <c r="G53" i="5"/>
  <c r="G55" i="5"/>
  <c r="G57" i="5"/>
  <c r="G46" i="5"/>
  <c r="G48" i="5"/>
  <c r="G50" i="5"/>
  <c r="G52" i="5"/>
  <c r="G54" i="5"/>
  <c r="G56" i="5"/>
  <c r="K47" i="5"/>
  <c r="K49" i="5"/>
  <c r="K51" i="5"/>
  <c r="K53" i="5"/>
  <c r="K55" i="5"/>
  <c r="K45" i="5"/>
  <c r="K57" i="5"/>
  <c r="K46" i="5"/>
  <c r="K48" i="5"/>
  <c r="K50" i="5"/>
  <c r="K52" i="5"/>
  <c r="K54" i="5"/>
  <c r="K56" i="5"/>
  <c r="H46" i="5"/>
  <c r="H48" i="5"/>
  <c r="H50" i="5"/>
  <c r="H52" i="5"/>
  <c r="H54" i="5"/>
  <c r="H56" i="5"/>
  <c r="H57" i="5"/>
  <c r="H47" i="5"/>
  <c r="H49" i="5"/>
  <c r="H51" i="5"/>
  <c r="H53" i="5"/>
  <c r="H55" i="5"/>
  <c r="H45" i="5"/>
  <c r="L38" i="5"/>
  <c r="L46" i="5"/>
  <c r="L48" i="5"/>
  <c r="L50" i="5"/>
  <c r="L52" i="5"/>
  <c r="L54" i="5"/>
  <c r="L56" i="5"/>
  <c r="L57" i="5"/>
  <c r="L47" i="5"/>
  <c r="L49" i="5"/>
  <c r="L51" i="5"/>
  <c r="L53" i="5"/>
  <c r="L55" i="5"/>
  <c r="L45" i="5"/>
  <c r="F57" i="5"/>
  <c r="F47" i="5"/>
  <c r="F49" i="5"/>
  <c r="F51" i="5"/>
  <c r="F53" i="5"/>
  <c r="F55" i="5"/>
  <c r="F45" i="5"/>
  <c r="F46" i="5"/>
  <c r="F48" i="5"/>
  <c r="F50" i="5"/>
  <c r="F52" i="5"/>
  <c r="F54" i="5"/>
  <c r="F56" i="5"/>
  <c r="E57" i="5"/>
  <c r="E46" i="5"/>
  <c r="E48" i="5"/>
  <c r="E50" i="5"/>
  <c r="E52" i="5"/>
  <c r="E54" i="5"/>
  <c r="E56" i="5"/>
  <c r="E47" i="5"/>
  <c r="E49" i="5"/>
  <c r="E51" i="5"/>
  <c r="E53" i="5"/>
  <c r="E55" i="5"/>
  <c r="I57" i="5"/>
  <c r="I46" i="5"/>
  <c r="I48" i="5"/>
  <c r="I50" i="5"/>
  <c r="I52" i="5"/>
  <c r="I54" i="5"/>
  <c r="I56" i="5"/>
  <c r="I45" i="5"/>
  <c r="I47" i="5"/>
  <c r="I49" i="5"/>
  <c r="I51" i="5"/>
  <c r="I53" i="5"/>
  <c r="I55" i="5"/>
  <c r="J38" i="5"/>
  <c r="G38" i="5"/>
  <c r="I38" i="5"/>
  <c r="H38" i="5"/>
  <c r="F38" i="5"/>
  <c r="K38" i="5"/>
  <c r="C38" i="5" l="1"/>
  <c r="D48" i="12" l="1"/>
  <c r="D49" i="12"/>
  <c r="D55" i="12"/>
  <c r="D50" i="12"/>
  <c r="D45" i="12"/>
  <c r="D56" i="12"/>
  <c r="D46" i="12"/>
  <c r="D57" i="12"/>
  <c r="D54" i="12"/>
  <c r="D51" i="12"/>
  <c r="D52" i="12"/>
  <c r="D47" i="12"/>
  <c r="D53" i="12"/>
  <c r="D38" i="12"/>
  <c r="C38" i="12" s="1"/>
</calcChain>
</file>

<file path=xl/sharedStrings.xml><?xml version="1.0" encoding="utf-8"?>
<sst xmlns="http://schemas.openxmlformats.org/spreadsheetml/2006/main" count="878" uniqueCount="89">
  <si>
    <t>2n BATX</t>
  </si>
  <si>
    <t>Catalunya, 2017-2018</t>
  </si>
  <si>
    <t>nombre d'alumnes</t>
  </si>
  <si>
    <t>%</t>
  </si>
  <si>
    <t>Distribució dels alumnes del curs origen 2016-2017 segons els ensenyaments de destinació 2017-2018</t>
  </si>
  <si>
    <t>Distribució dels alumnes del curs destinació 2017-2018 segons els ensenyaments d'origen 2016-2017</t>
  </si>
  <si>
    <t>Ensenyaments destinació 2017-2018</t>
  </si>
  <si>
    <t>Alumnes del curs origen 2016-2017 segons els ensenyaments de destinació 2017-2018</t>
  </si>
  <si>
    <t>2n CFPM</t>
  </si>
  <si>
    <t>2n CFPS</t>
  </si>
  <si>
    <t>2n CFAM</t>
  </si>
  <si>
    <t>2n CFAS</t>
  </si>
  <si>
    <t xml:space="preserve">Distribució total </t>
  </si>
  <si>
    <t>Total</t>
  </si>
  <si>
    <t>Alumnes del curs origen 2017-2018 segons els ensenyaments de destinació 2018-2019</t>
  </si>
  <si>
    <t>Catalunya, 2018-2019</t>
  </si>
  <si>
    <t>Ensenyaments destinació 2018-2019</t>
  </si>
  <si>
    <t>Distribució dels alumnes del curs origen 2017-2018 segons els ensenyaments de destinació 2018-2019</t>
  </si>
  <si>
    <t>Distribució dels alumnes del curs destinació 2018-2019 segons els ensenyaments d'origen 2017-2018</t>
  </si>
  <si>
    <t>Pestanya</t>
  </si>
  <si>
    <t>Taules</t>
  </si>
  <si>
    <t>Títols de les taules</t>
  </si>
  <si>
    <t>T 1.</t>
  </si>
  <si>
    <t>T 3.</t>
  </si>
  <si>
    <t>T 2.</t>
  </si>
  <si>
    <t>Alumnes</t>
  </si>
  <si>
    <t>Catalunya, 2019-2020</t>
  </si>
  <si>
    <t>Alumnes del curs origen 2018-2019 segons els ensenyaments de destinació 2019-2020</t>
  </si>
  <si>
    <t>Distribució dels alumnes del curs origen 2018-2019 segons els ensenyaments de destinació 2019-2020</t>
  </si>
  <si>
    <t>Distribució dels alumnes del curs destinació 2019-2020 segons els ensenyaments d'origen 2018-2019</t>
  </si>
  <si>
    <t>Ensenyaments destinació 2019-2020</t>
  </si>
  <si>
    <t>Distribució dels alumnes del curs origen 2019-2020 segons els ensenyaments de destinació 2020-2021</t>
  </si>
  <si>
    <t>Alumnes del curs origen 2019-2020 segons els ensenyaments de destinació 2020-2021</t>
  </si>
  <si>
    <t>Distribució dels alumnes del curs destinació 2020-2021 segons els ensenyaments d'origen 2019-2020</t>
  </si>
  <si>
    <t>Catalunya, 2020-2021</t>
  </si>
  <si>
    <t>Estadística de trajectòries educatives</t>
  </si>
  <si>
    <t>ETE1718</t>
  </si>
  <si>
    <t>ETE1819</t>
  </si>
  <si>
    <t>ETE1920</t>
  </si>
  <si>
    <t>ETE2021</t>
  </si>
  <si>
    <t>ETE2122</t>
  </si>
  <si>
    <t>Alumnes del curs origen 2020-2021 segons els ensenyaments de destinació 2021-2022</t>
  </si>
  <si>
    <t>Distribució dels alumnes del curs origen 2020-2021 segons els ensenyaments de destinació 2021-2022</t>
  </si>
  <si>
    <t>Distribució dels alumnes del curs destinació 2021-2022 segons els ensenyaments d'origen 2020-2021</t>
  </si>
  <si>
    <t>1.</t>
  </si>
  <si>
    <t>2.</t>
  </si>
  <si>
    <t>3.</t>
  </si>
  <si>
    <t>Font: Departament d'Educació, Estadística de trajectòries educatives</t>
  </si>
  <si>
    <t>Catalunya, 2021-2022</t>
  </si>
  <si>
    <t>Ensenyaments destinació 2021-2022</t>
  </si>
  <si>
    <t>Ensenyaments destinació 2020-2021</t>
  </si>
  <si>
    <t>3r ESO</t>
  </si>
  <si>
    <t>4t ESO</t>
  </si>
  <si>
    <t>1r BATX</t>
  </si>
  <si>
    <t>1r CFPM</t>
  </si>
  <si>
    <t>1r CFPS</t>
  </si>
  <si>
    <t>1r CFAM</t>
  </si>
  <si>
    <t>1r CFAS</t>
  </si>
  <si>
    <t>Alumnes del curs origen 2021-2022 segons els ensenyaments de destinació 2022-2023</t>
  </si>
  <si>
    <t>Catalunya, 2022-2023</t>
  </si>
  <si>
    <t>Ensenyaments destinació 2022-2023</t>
  </si>
  <si>
    <t>CFPB</t>
  </si>
  <si>
    <t>Distribució dels alumnes del curs origen 2021-2022 segons els ensenyaments de destinació 2022-2023</t>
  </si>
  <si>
    <t>Distribució dels alumnes del curs destinació 2022-2023 segons els ensenyaments d'origen 2021-2022</t>
  </si>
  <si>
    <t xml:space="preserve">Alumnes ensenyaments </t>
  </si>
  <si>
    <t>origen 2016-2017</t>
  </si>
  <si>
    <t>Alumnes ensenyaments</t>
  </si>
  <si>
    <t xml:space="preserve"> origen 2017-2018</t>
  </si>
  <si>
    <t>origen 2017-2018</t>
  </si>
  <si>
    <t xml:space="preserve"> origen 2018-2019</t>
  </si>
  <si>
    <t>origen 2018-2019</t>
  </si>
  <si>
    <t>origen 2019-2020</t>
  </si>
  <si>
    <t>origen 2020-2021</t>
  </si>
  <si>
    <t>origen 2021-2022</t>
  </si>
  <si>
    <t>Alumnes del curs origen 2022-2023 segons els ensenyaments de destinació 2023-2024</t>
  </si>
  <si>
    <t>Catalunya, 2023-2024</t>
  </si>
  <si>
    <t>Distribució dels alumnes del curs origen 2022-2023 segons els ensenyaments de destinació 2023-2024</t>
  </si>
  <si>
    <t>origen 2022-2023</t>
  </si>
  <si>
    <t>Ensenyaments destinació 2023-2024</t>
  </si>
  <si>
    <t>Distribució dels alumnes del curs destinació 2023-2024 segons els ensenyaments d'origen 2022-2023</t>
  </si>
  <si>
    <t>ETE2223</t>
  </si>
  <si>
    <t>Distribució dels alumnes del curs destinació 2022-2023 segons els ensenyaments d'origen 2021-2023</t>
  </si>
  <si>
    <t>ETE2324</t>
  </si>
  <si>
    <t>Alumnes del curs origen 2023-2024 segons els ensenyaments de destinació 2024-2025</t>
  </si>
  <si>
    <t>Catalunya, 2024-2025</t>
  </si>
  <si>
    <t>origen 2023-2024</t>
  </si>
  <si>
    <t>Distribució dels alumnes del curs origen 2023-2024 segons els ensenyaments de destinació 2024-2025</t>
  </si>
  <si>
    <t>Ensenyaments destinació 2024-2025</t>
  </si>
  <si>
    <t>Distribució dels alumnes del curs destinació 2024-2025 segons els ensenyaments d'origen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</si>
</sst>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;\-"/>
    <numFmt numFmtId="165" formatCode="#,##0.00;#,##0.00;\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4" fillId="0" borderId="0"/>
  </cellStyleXfs>
  <cellXfs count="77">
    <xf numFmtId="0" fontId="0" fillId="0" borderId="0" xfId="0"/>
    <xf numFmtId="0" fontId="1" fillId="2" borderId="0" xfId="0" applyFont="1" applyFill="1"/>
    <xf numFmtId="0" fontId="1" fillId="0" borderId="0" xfId="0" applyFont="1" applyFill="1"/>
    <xf numFmtId="0" fontId="3" fillId="0" borderId="0" xfId="0" applyFont="1" applyFill="1" applyBorder="1"/>
    <xf numFmtId="0" fontId="4" fillId="0" borderId="1" xfId="0" applyFont="1" applyFill="1" applyBorder="1"/>
    <xf numFmtId="0" fontId="1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13" fillId="0" borderId="0" xfId="0" applyFont="1" applyFill="1"/>
    <xf numFmtId="0" fontId="6" fillId="2" borderId="0" xfId="0" applyFont="1" applyFill="1"/>
    <xf numFmtId="0" fontId="4" fillId="0" borderId="0" xfId="0" applyFont="1" applyFill="1" applyBorder="1"/>
    <xf numFmtId="0" fontId="8" fillId="0" borderId="1" xfId="0" applyFont="1" applyFill="1" applyBorder="1"/>
    <xf numFmtId="0" fontId="7" fillId="0" borderId="0" xfId="0" applyFont="1" applyFill="1" applyAlignment="1"/>
    <xf numFmtId="164" fontId="8" fillId="3" borderId="0" xfId="0" applyNumberFormat="1" applyFont="1" applyFill="1" applyBorder="1" applyAlignment="1">
      <alignment vertical="center"/>
    </xf>
    <xf numFmtId="164" fontId="8" fillId="4" borderId="0" xfId="0" applyNumberFormat="1" applyFont="1" applyFill="1" applyBorder="1" applyAlignment="1">
      <alignment vertical="center"/>
    </xf>
    <xf numFmtId="0" fontId="1" fillId="4" borderId="0" xfId="0" applyFont="1" applyFill="1"/>
    <xf numFmtId="164" fontId="6" fillId="4" borderId="0" xfId="0" applyNumberFormat="1" applyFont="1" applyFill="1" applyBorder="1" applyAlignment="1">
      <alignment vertical="center"/>
    </xf>
    <xf numFmtId="0" fontId="13" fillId="3" borderId="0" xfId="0" applyFont="1" applyFill="1" applyAlignment="1">
      <alignment horizontal="right"/>
    </xf>
    <xf numFmtId="0" fontId="0" fillId="0" borderId="1" xfId="0" applyBorder="1"/>
    <xf numFmtId="165" fontId="6" fillId="4" borderId="0" xfId="0" applyNumberFormat="1" applyFont="1" applyFill="1" applyBorder="1" applyAlignment="1">
      <alignment vertical="center"/>
    </xf>
    <xf numFmtId="165" fontId="8" fillId="4" borderId="0" xfId="0" applyNumberFormat="1" applyFont="1" applyFill="1" applyBorder="1" applyAlignment="1">
      <alignment vertical="center"/>
    </xf>
    <xf numFmtId="0" fontId="1" fillId="0" borderId="0" xfId="0" applyFont="1" applyFill="1" applyBorder="1"/>
    <xf numFmtId="0" fontId="16" fillId="0" borderId="1" xfId="0" applyFont="1" applyBorder="1" applyAlignment="1">
      <alignment horizontal="right"/>
    </xf>
    <xf numFmtId="0" fontId="0" fillId="3" borderId="0" xfId="0" applyFill="1"/>
    <xf numFmtId="0" fontId="15" fillId="4" borderId="2" xfId="0" applyFont="1" applyFill="1" applyBorder="1" applyAlignment="1">
      <alignment horizontal="right" vertical="center" wrapText="1"/>
    </xf>
    <xf numFmtId="0" fontId="13" fillId="4" borderId="3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right"/>
    </xf>
    <xf numFmtId="0" fontId="0" fillId="3" borderId="1" xfId="0" applyFill="1" applyBorder="1"/>
    <xf numFmtId="164" fontId="8" fillId="4" borderId="1" xfId="0" applyNumberFormat="1" applyFont="1" applyFill="1" applyBorder="1" applyAlignment="1">
      <alignment vertical="center"/>
    </xf>
    <xf numFmtId="164" fontId="8" fillId="3" borderId="1" xfId="0" applyNumberFormat="1" applyFont="1" applyFill="1" applyBorder="1" applyAlignment="1">
      <alignment vertical="center"/>
    </xf>
    <xf numFmtId="165" fontId="8" fillId="4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/>
    <xf numFmtId="164" fontId="10" fillId="4" borderId="1" xfId="0" applyNumberFormat="1" applyFont="1" applyFill="1" applyBorder="1"/>
    <xf numFmtId="0" fontId="5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4" fontId="5" fillId="2" borderId="0" xfId="0" applyNumberFormat="1" applyFont="1" applyFill="1" applyAlignment="1">
      <alignment horizontal="left"/>
    </xf>
    <xf numFmtId="0" fontId="11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4" borderId="3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/>
    </xf>
    <xf numFmtId="164" fontId="1" fillId="0" borderId="0" xfId="0" applyNumberFormat="1" applyFont="1" applyFill="1"/>
    <xf numFmtId="3" fontId="8" fillId="3" borderId="0" xfId="0" applyNumberFormat="1" applyFont="1" applyFill="1" applyBorder="1" applyAlignment="1">
      <alignment vertical="center"/>
    </xf>
    <xf numFmtId="3" fontId="8" fillId="4" borderId="0" xfId="0" applyNumberFormat="1" applyFont="1" applyFill="1" applyBorder="1" applyAlignment="1">
      <alignment vertical="center"/>
    </xf>
    <xf numFmtId="3" fontId="6" fillId="4" borderId="0" xfId="0" applyNumberFormat="1" applyFont="1" applyFill="1" applyBorder="1" applyAlignment="1">
      <alignment vertical="center"/>
    </xf>
    <xf numFmtId="0" fontId="6" fillId="4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  <xf numFmtId="0" fontId="13" fillId="3" borderId="0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 vertical="center"/>
    </xf>
    <xf numFmtId="0" fontId="13" fillId="4" borderId="4" xfId="0" applyFont="1" applyFill="1" applyBorder="1" applyAlignment="1">
      <alignment vertical="center" wrapText="1"/>
    </xf>
    <xf numFmtId="0" fontId="13" fillId="3" borderId="0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vertical="top"/>
    </xf>
    <xf numFmtId="0" fontId="13" fillId="3" borderId="5" xfId="0" applyFont="1" applyFill="1" applyBorder="1" applyAlignment="1">
      <alignment horizontal="left" vertical="center"/>
    </xf>
    <xf numFmtId="0" fontId="13" fillId="3" borderId="5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/>
    </xf>
    <xf numFmtId="3" fontId="1" fillId="0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727466</xdr:colOff>
      <xdr:row>0</xdr:row>
      <xdr:rowOff>387096</xdr:rowOff>
    </xdr:to>
    <xdr:pic>
      <xdr:nvPicPr>
        <xdr:cNvPr id="2" name="Imatge 1" title="Logo. Generalitat de Catalunya. Departament d'Educació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8192" cy="387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727466</xdr:colOff>
      <xdr:row>0</xdr:row>
      <xdr:rowOff>387096</xdr:rowOff>
    </xdr:to>
    <xdr:pic>
      <xdr:nvPicPr>
        <xdr:cNvPr id="3" name="Imatge 2" title="Logo. Generalitat de Catalunya. Departament d'Educació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9091" cy="387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725896</xdr:colOff>
      <xdr:row>0</xdr:row>
      <xdr:rowOff>387096</xdr:rowOff>
    </xdr:to>
    <xdr:pic>
      <xdr:nvPicPr>
        <xdr:cNvPr id="3" name="Imatge 2" title="Logo. Generalitat de Catalunya. Departament d'Educació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7521" cy="3870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725896</xdr:colOff>
      <xdr:row>0</xdr:row>
      <xdr:rowOff>387096</xdr:rowOff>
    </xdr:to>
    <xdr:pic>
      <xdr:nvPicPr>
        <xdr:cNvPr id="3" name="Imatge 2" title="Logo. Generalitat de Catalunya. Departament d'Educació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7521" cy="3870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725896</xdr:colOff>
      <xdr:row>0</xdr:row>
      <xdr:rowOff>387096</xdr:rowOff>
    </xdr:to>
    <xdr:pic>
      <xdr:nvPicPr>
        <xdr:cNvPr id="3" name="Imatge 2" title="Logo. Generalitat de Catalunya. Departament d'Educació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76896" cy="38709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57150</xdr:colOff>
      <xdr:row>1</xdr:row>
      <xdr:rowOff>15154</xdr:rowOff>
    </xdr:to>
    <xdr:pic>
      <xdr:nvPicPr>
        <xdr:cNvPr id="2" name="Imatge 1" title="Logo. Generalitat de Catalunya. Departament d'Educació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38400" cy="4437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565023</xdr:colOff>
      <xdr:row>0</xdr:row>
      <xdr:rowOff>429006</xdr:rowOff>
    </xdr:to>
    <xdr:pic>
      <xdr:nvPicPr>
        <xdr:cNvPr id="3" name="Imat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36648" cy="4290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</xdr:col>
      <xdr:colOff>476250</xdr:colOff>
      <xdr:row>0</xdr:row>
      <xdr:rowOff>457257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B74C09F2-1847-48E4-A6E4-37D8A0DD1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047875" cy="457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zoomScaleNormal="100" workbookViewId="0"/>
  </sheetViews>
  <sheetFormatPr defaultRowHeight="14.25" x14ac:dyDescent="0.2"/>
  <cols>
    <col min="1" max="1" width="15.28515625" style="44" customWidth="1"/>
    <col min="2" max="2" width="8.28515625" style="44" customWidth="1"/>
    <col min="3" max="3" width="88.7109375" style="37" customWidth="1"/>
    <col min="4" max="4" width="38" style="1" customWidth="1"/>
    <col min="5" max="257" width="9.140625" style="1"/>
    <col min="258" max="258" width="15.28515625" style="1" customWidth="1"/>
    <col min="259" max="259" width="34.7109375" style="1" customWidth="1"/>
    <col min="260" max="260" width="38" style="1" customWidth="1"/>
    <col min="261" max="513" width="9.140625" style="1"/>
    <col min="514" max="514" width="15.28515625" style="1" customWidth="1"/>
    <col min="515" max="515" width="34.7109375" style="1" customWidth="1"/>
    <col min="516" max="516" width="38" style="1" customWidth="1"/>
    <col min="517" max="769" width="9.140625" style="1"/>
    <col min="770" max="770" width="15.28515625" style="1" customWidth="1"/>
    <col min="771" max="771" width="34.7109375" style="1" customWidth="1"/>
    <col min="772" max="772" width="38" style="1" customWidth="1"/>
    <col min="773" max="1025" width="9.140625" style="1"/>
    <col min="1026" max="1026" width="15.28515625" style="1" customWidth="1"/>
    <col min="1027" max="1027" width="34.7109375" style="1" customWidth="1"/>
    <col min="1028" max="1028" width="38" style="1" customWidth="1"/>
    <col min="1029" max="1281" width="9.140625" style="1"/>
    <col min="1282" max="1282" width="15.28515625" style="1" customWidth="1"/>
    <col min="1283" max="1283" width="34.7109375" style="1" customWidth="1"/>
    <col min="1284" max="1284" width="38" style="1" customWidth="1"/>
    <col min="1285" max="1537" width="9.140625" style="1"/>
    <col min="1538" max="1538" width="15.28515625" style="1" customWidth="1"/>
    <col min="1539" max="1539" width="34.7109375" style="1" customWidth="1"/>
    <col min="1540" max="1540" width="38" style="1" customWidth="1"/>
    <col min="1541" max="1793" width="9.140625" style="1"/>
    <col min="1794" max="1794" width="15.28515625" style="1" customWidth="1"/>
    <col min="1795" max="1795" width="34.7109375" style="1" customWidth="1"/>
    <col min="1796" max="1796" width="38" style="1" customWidth="1"/>
    <col min="1797" max="2049" width="9.140625" style="1"/>
    <col min="2050" max="2050" width="15.28515625" style="1" customWidth="1"/>
    <col min="2051" max="2051" width="34.7109375" style="1" customWidth="1"/>
    <col min="2052" max="2052" width="38" style="1" customWidth="1"/>
    <col min="2053" max="2305" width="9.140625" style="1"/>
    <col min="2306" max="2306" width="15.28515625" style="1" customWidth="1"/>
    <col min="2307" max="2307" width="34.7109375" style="1" customWidth="1"/>
    <col min="2308" max="2308" width="38" style="1" customWidth="1"/>
    <col min="2309" max="2561" width="9.140625" style="1"/>
    <col min="2562" max="2562" width="15.28515625" style="1" customWidth="1"/>
    <col min="2563" max="2563" width="34.7109375" style="1" customWidth="1"/>
    <col min="2564" max="2564" width="38" style="1" customWidth="1"/>
    <col min="2565" max="2817" width="9.140625" style="1"/>
    <col min="2818" max="2818" width="15.28515625" style="1" customWidth="1"/>
    <col min="2819" max="2819" width="34.7109375" style="1" customWidth="1"/>
    <col min="2820" max="2820" width="38" style="1" customWidth="1"/>
    <col min="2821" max="3073" width="9.140625" style="1"/>
    <col min="3074" max="3074" width="15.28515625" style="1" customWidth="1"/>
    <col min="3075" max="3075" width="34.7109375" style="1" customWidth="1"/>
    <col min="3076" max="3076" width="38" style="1" customWidth="1"/>
    <col min="3077" max="3329" width="9.140625" style="1"/>
    <col min="3330" max="3330" width="15.28515625" style="1" customWidth="1"/>
    <col min="3331" max="3331" width="34.7109375" style="1" customWidth="1"/>
    <col min="3332" max="3332" width="38" style="1" customWidth="1"/>
    <col min="3333" max="3585" width="9.140625" style="1"/>
    <col min="3586" max="3586" width="15.28515625" style="1" customWidth="1"/>
    <col min="3587" max="3587" width="34.7109375" style="1" customWidth="1"/>
    <col min="3588" max="3588" width="38" style="1" customWidth="1"/>
    <col min="3589" max="3841" width="9.140625" style="1"/>
    <col min="3842" max="3842" width="15.28515625" style="1" customWidth="1"/>
    <col min="3843" max="3843" width="34.7109375" style="1" customWidth="1"/>
    <col min="3844" max="3844" width="38" style="1" customWidth="1"/>
    <col min="3845" max="4097" width="9.140625" style="1"/>
    <col min="4098" max="4098" width="15.28515625" style="1" customWidth="1"/>
    <col min="4099" max="4099" width="34.7109375" style="1" customWidth="1"/>
    <col min="4100" max="4100" width="38" style="1" customWidth="1"/>
    <col min="4101" max="4353" width="9.140625" style="1"/>
    <col min="4354" max="4354" width="15.28515625" style="1" customWidth="1"/>
    <col min="4355" max="4355" width="34.7109375" style="1" customWidth="1"/>
    <col min="4356" max="4356" width="38" style="1" customWidth="1"/>
    <col min="4357" max="4609" width="9.140625" style="1"/>
    <col min="4610" max="4610" width="15.28515625" style="1" customWidth="1"/>
    <col min="4611" max="4611" width="34.7109375" style="1" customWidth="1"/>
    <col min="4612" max="4612" width="38" style="1" customWidth="1"/>
    <col min="4613" max="4865" width="9.140625" style="1"/>
    <col min="4866" max="4866" width="15.28515625" style="1" customWidth="1"/>
    <col min="4867" max="4867" width="34.7109375" style="1" customWidth="1"/>
    <col min="4868" max="4868" width="38" style="1" customWidth="1"/>
    <col min="4869" max="5121" width="9.140625" style="1"/>
    <col min="5122" max="5122" width="15.28515625" style="1" customWidth="1"/>
    <col min="5123" max="5123" width="34.7109375" style="1" customWidth="1"/>
    <col min="5124" max="5124" width="38" style="1" customWidth="1"/>
    <col min="5125" max="5377" width="9.140625" style="1"/>
    <col min="5378" max="5378" width="15.28515625" style="1" customWidth="1"/>
    <col min="5379" max="5379" width="34.7109375" style="1" customWidth="1"/>
    <col min="5380" max="5380" width="38" style="1" customWidth="1"/>
    <col min="5381" max="5633" width="9.140625" style="1"/>
    <col min="5634" max="5634" width="15.28515625" style="1" customWidth="1"/>
    <col min="5635" max="5635" width="34.7109375" style="1" customWidth="1"/>
    <col min="5636" max="5636" width="38" style="1" customWidth="1"/>
    <col min="5637" max="5889" width="9.140625" style="1"/>
    <col min="5890" max="5890" width="15.28515625" style="1" customWidth="1"/>
    <col min="5891" max="5891" width="34.7109375" style="1" customWidth="1"/>
    <col min="5892" max="5892" width="38" style="1" customWidth="1"/>
    <col min="5893" max="6145" width="9.140625" style="1"/>
    <col min="6146" max="6146" width="15.28515625" style="1" customWidth="1"/>
    <col min="6147" max="6147" width="34.7109375" style="1" customWidth="1"/>
    <col min="6148" max="6148" width="38" style="1" customWidth="1"/>
    <col min="6149" max="6401" width="9.140625" style="1"/>
    <col min="6402" max="6402" width="15.28515625" style="1" customWidth="1"/>
    <col min="6403" max="6403" width="34.7109375" style="1" customWidth="1"/>
    <col min="6404" max="6404" width="38" style="1" customWidth="1"/>
    <col min="6405" max="6657" width="9.140625" style="1"/>
    <col min="6658" max="6658" width="15.28515625" style="1" customWidth="1"/>
    <col min="6659" max="6659" width="34.7109375" style="1" customWidth="1"/>
    <col min="6660" max="6660" width="38" style="1" customWidth="1"/>
    <col min="6661" max="6913" width="9.140625" style="1"/>
    <col min="6914" max="6914" width="15.28515625" style="1" customWidth="1"/>
    <col min="6915" max="6915" width="34.7109375" style="1" customWidth="1"/>
    <col min="6916" max="6916" width="38" style="1" customWidth="1"/>
    <col min="6917" max="7169" width="9.140625" style="1"/>
    <col min="7170" max="7170" width="15.28515625" style="1" customWidth="1"/>
    <col min="7171" max="7171" width="34.7109375" style="1" customWidth="1"/>
    <col min="7172" max="7172" width="38" style="1" customWidth="1"/>
    <col min="7173" max="7425" width="9.140625" style="1"/>
    <col min="7426" max="7426" width="15.28515625" style="1" customWidth="1"/>
    <col min="7427" max="7427" width="34.7109375" style="1" customWidth="1"/>
    <col min="7428" max="7428" width="38" style="1" customWidth="1"/>
    <col min="7429" max="7681" width="9.140625" style="1"/>
    <col min="7682" max="7682" width="15.28515625" style="1" customWidth="1"/>
    <col min="7683" max="7683" width="34.7109375" style="1" customWidth="1"/>
    <col min="7684" max="7684" width="38" style="1" customWidth="1"/>
    <col min="7685" max="7937" width="9.140625" style="1"/>
    <col min="7938" max="7938" width="15.28515625" style="1" customWidth="1"/>
    <col min="7939" max="7939" width="34.7109375" style="1" customWidth="1"/>
    <col min="7940" max="7940" width="38" style="1" customWidth="1"/>
    <col min="7941" max="8193" width="9.140625" style="1"/>
    <col min="8194" max="8194" width="15.28515625" style="1" customWidth="1"/>
    <col min="8195" max="8195" width="34.7109375" style="1" customWidth="1"/>
    <col min="8196" max="8196" width="38" style="1" customWidth="1"/>
    <col min="8197" max="8449" width="9.140625" style="1"/>
    <col min="8450" max="8450" width="15.28515625" style="1" customWidth="1"/>
    <col min="8451" max="8451" width="34.7109375" style="1" customWidth="1"/>
    <col min="8452" max="8452" width="38" style="1" customWidth="1"/>
    <col min="8453" max="8705" width="9.140625" style="1"/>
    <col min="8706" max="8706" width="15.28515625" style="1" customWidth="1"/>
    <col min="8707" max="8707" width="34.7109375" style="1" customWidth="1"/>
    <col min="8708" max="8708" width="38" style="1" customWidth="1"/>
    <col min="8709" max="8961" width="9.140625" style="1"/>
    <col min="8962" max="8962" width="15.28515625" style="1" customWidth="1"/>
    <col min="8963" max="8963" width="34.7109375" style="1" customWidth="1"/>
    <col min="8964" max="8964" width="38" style="1" customWidth="1"/>
    <col min="8965" max="9217" width="9.140625" style="1"/>
    <col min="9218" max="9218" width="15.28515625" style="1" customWidth="1"/>
    <col min="9219" max="9219" width="34.7109375" style="1" customWidth="1"/>
    <col min="9220" max="9220" width="38" style="1" customWidth="1"/>
    <col min="9221" max="9473" width="9.140625" style="1"/>
    <col min="9474" max="9474" width="15.28515625" style="1" customWidth="1"/>
    <col min="9475" max="9475" width="34.7109375" style="1" customWidth="1"/>
    <col min="9476" max="9476" width="38" style="1" customWidth="1"/>
    <col min="9477" max="9729" width="9.140625" style="1"/>
    <col min="9730" max="9730" width="15.28515625" style="1" customWidth="1"/>
    <col min="9731" max="9731" width="34.7109375" style="1" customWidth="1"/>
    <col min="9732" max="9732" width="38" style="1" customWidth="1"/>
    <col min="9733" max="9985" width="9.140625" style="1"/>
    <col min="9986" max="9986" width="15.28515625" style="1" customWidth="1"/>
    <col min="9987" max="9987" width="34.7109375" style="1" customWidth="1"/>
    <col min="9988" max="9988" width="38" style="1" customWidth="1"/>
    <col min="9989" max="10241" width="9.140625" style="1"/>
    <col min="10242" max="10242" width="15.28515625" style="1" customWidth="1"/>
    <col min="10243" max="10243" width="34.7109375" style="1" customWidth="1"/>
    <col min="10244" max="10244" width="38" style="1" customWidth="1"/>
    <col min="10245" max="10497" width="9.140625" style="1"/>
    <col min="10498" max="10498" width="15.28515625" style="1" customWidth="1"/>
    <col min="10499" max="10499" width="34.7109375" style="1" customWidth="1"/>
    <col min="10500" max="10500" width="38" style="1" customWidth="1"/>
    <col min="10501" max="10753" width="9.140625" style="1"/>
    <col min="10754" max="10754" width="15.28515625" style="1" customWidth="1"/>
    <col min="10755" max="10755" width="34.7109375" style="1" customWidth="1"/>
    <col min="10756" max="10756" width="38" style="1" customWidth="1"/>
    <col min="10757" max="11009" width="9.140625" style="1"/>
    <col min="11010" max="11010" width="15.28515625" style="1" customWidth="1"/>
    <col min="11011" max="11011" width="34.7109375" style="1" customWidth="1"/>
    <col min="11012" max="11012" width="38" style="1" customWidth="1"/>
    <col min="11013" max="11265" width="9.140625" style="1"/>
    <col min="11266" max="11266" width="15.28515625" style="1" customWidth="1"/>
    <col min="11267" max="11267" width="34.7109375" style="1" customWidth="1"/>
    <col min="11268" max="11268" width="38" style="1" customWidth="1"/>
    <col min="11269" max="11521" width="9.140625" style="1"/>
    <col min="11522" max="11522" width="15.28515625" style="1" customWidth="1"/>
    <col min="11523" max="11523" width="34.7109375" style="1" customWidth="1"/>
    <col min="11524" max="11524" width="38" style="1" customWidth="1"/>
    <col min="11525" max="11777" width="9.140625" style="1"/>
    <col min="11778" max="11778" width="15.28515625" style="1" customWidth="1"/>
    <col min="11779" max="11779" width="34.7109375" style="1" customWidth="1"/>
    <col min="11780" max="11780" width="38" style="1" customWidth="1"/>
    <col min="11781" max="12033" width="9.140625" style="1"/>
    <col min="12034" max="12034" width="15.28515625" style="1" customWidth="1"/>
    <col min="12035" max="12035" width="34.7109375" style="1" customWidth="1"/>
    <col min="12036" max="12036" width="38" style="1" customWidth="1"/>
    <col min="12037" max="12289" width="9.140625" style="1"/>
    <col min="12290" max="12290" width="15.28515625" style="1" customWidth="1"/>
    <col min="12291" max="12291" width="34.7109375" style="1" customWidth="1"/>
    <col min="12292" max="12292" width="38" style="1" customWidth="1"/>
    <col min="12293" max="12545" width="9.140625" style="1"/>
    <col min="12546" max="12546" width="15.28515625" style="1" customWidth="1"/>
    <col min="12547" max="12547" width="34.7109375" style="1" customWidth="1"/>
    <col min="12548" max="12548" width="38" style="1" customWidth="1"/>
    <col min="12549" max="12801" width="9.140625" style="1"/>
    <col min="12802" max="12802" width="15.28515625" style="1" customWidth="1"/>
    <col min="12803" max="12803" width="34.7109375" style="1" customWidth="1"/>
    <col min="12804" max="12804" width="38" style="1" customWidth="1"/>
    <col min="12805" max="13057" width="9.140625" style="1"/>
    <col min="13058" max="13058" width="15.28515625" style="1" customWidth="1"/>
    <col min="13059" max="13059" width="34.7109375" style="1" customWidth="1"/>
    <col min="13060" max="13060" width="38" style="1" customWidth="1"/>
    <col min="13061" max="13313" width="9.140625" style="1"/>
    <col min="13314" max="13314" width="15.28515625" style="1" customWidth="1"/>
    <col min="13315" max="13315" width="34.7109375" style="1" customWidth="1"/>
    <col min="13316" max="13316" width="38" style="1" customWidth="1"/>
    <col min="13317" max="13569" width="9.140625" style="1"/>
    <col min="13570" max="13570" width="15.28515625" style="1" customWidth="1"/>
    <col min="13571" max="13571" width="34.7109375" style="1" customWidth="1"/>
    <col min="13572" max="13572" width="38" style="1" customWidth="1"/>
    <col min="13573" max="13825" width="9.140625" style="1"/>
    <col min="13826" max="13826" width="15.28515625" style="1" customWidth="1"/>
    <col min="13827" max="13827" width="34.7109375" style="1" customWidth="1"/>
    <col min="13828" max="13828" width="38" style="1" customWidth="1"/>
    <col min="13829" max="14081" width="9.140625" style="1"/>
    <col min="14082" max="14082" width="15.28515625" style="1" customWidth="1"/>
    <col min="14083" max="14083" width="34.7109375" style="1" customWidth="1"/>
    <col min="14084" max="14084" width="38" style="1" customWidth="1"/>
    <col min="14085" max="14337" width="9.140625" style="1"/>
    <col min="14338" max="14338" width="15.28515625" style="1" customWidth="1"/>
    <col min="14339" max="14339" width="34.7109375" style="1" customWidth="1"/>
    <col min="14340" max="14340" width="38" style="1" customWidth="1"/>
    <col min="14341" max="14593" width="9.140625" style="1"/>
    <col min="14594" max="14594" width="15.28515625" style="1" customWidth="1"/>
    <col min="14595" max="14595" width="34.7109375" style="1" customWidth="1"/>
    <col min="14596" max="14596" width="38" style="1" customWidth="1"/>
    <col min="14597" max="14849" width="9.140625" style="1"/>
    <col min="14850" max="14850" width="15.28515625" style="1" customWidth="1"/>
    <col min="14851" max="14851" width="34.7109375" style="1" customWidth="1"/>
    <col min="14852" max="14852" width="38" style="1" customWidth="1"/>
    <col min="14853" max="15105" width="9.140625" style="1"/>
    <col min="15106" max="15106" width="15.28515625" style="1" customWidth="1"/>
    <col min="15107" max="15107" width="34.7109375" style="1" customWidth="1"/>
    <col min="15108" max="15108" width="38" style="1" customWidth="1"/>
    <col min="15109" max="15361" width="9.140625" style="1"/>
    <col min="15362" max="15362" width="15.28515625" style="1" customWidth="1"/>
    <col min="15363" max="15363" width="34.7109375" style="1" customWidth="1"/>
    <col min="15364" max="15364" width="38" style="1" customWidth="1"/>
    <col min="15365" max="15617" width="9.140625" style="1"/>
    <col min="15618" max="15618" width="15.28515625" style="1" customWidth="1"/>
    <col min="15619" max="15619" width="34.7109375" style="1" customWidth="1"/>
    <col min="15620" max="15620" width="38" style="1" customWidth="1"/>
    <col min="15621" max="15873" width="9.140625" style="1"/>
    <col min="15874" max="15874" width="15.28515625" style="1" customWidth="1"/>
    <col min="15875" max="15875" width="34.7109375" style="1" customWidth="1"/>
    <col min="15876" max="15876" width="38" style="1" customWidth="1"/>
    <col min="15877" max="16129" width="9.140625" style="1"/>
    <col min="16130" max="16130" width="15.28515625" style="1" customWidth="1"/>
    <col min="16131" max="16131" width="34.7109375" style="1" customWidth="1"/>
    <col min="16132" max="16132" width="38" style="1" customWidth="1"/>
    <col min="16133" max="16384" width="9.140625" style="1"/>
  </cols>
  <sheetData>
    <row r="1" spans="1:38" s="34" customFormat="1" ht="21.75" customHeight="1" x14ac:dyDescent="0.3">
      <c r="A1" s="46" t="s">
        <v>35</v>
      </c>
      <c r="B1" s="39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pans="1:38" ht="24" customHeight="1" x14ac:dyDescent="0.2">
      <c r="A2" s="40" t="s">
        <v>19</v>
      </c>
      <c r="B2" s="41" t="s">
        <v>20</v>
      </c>
      <c r="C2" s="35" t="s">
        <v>21</v>
      </c>
    </row>
    <row r="3" spans="1:38" s="8" customFormat="1" ht="15" customHeight="1" x14ac:dyDescent="0.2">
      <c r="A3" s="33" t="s">
        <v>36</v>
      </c>
      <c r="B3" s="42" t="s">
        <v>22</v>
      </c>
      <c r="C3" s="36" t="s">
        <v>7</v>
      </c>
    </row>
    <row r="4" spans="1:38" s="8" customFormat="1" ht="15" customHeight="1" x14ac:dyDescent="0.2">
      <c r="A4" s="43"/>
      <c r="B4" s="42" t="s">
        <v>24</v>
      </c>
      <c r="C4" s="36" t="s">
        <v>4</v>
      </c>
    </row>
    <row r="5" spans="1:38" s="8" customFormat="1" ht="15" customHeight="1" x14ac:dyDescent="0.2">
      <c r="A5" s="43"/>
      <c r="B5" s="42" t="s">
        <v>23</v>
      </c>
      <c r="C5" s="36" t="s">
        <v>5</v>
      </c>
    </row>
    <row r="6" spans="1:38" ht="15" customHeight="1" x14ac:dyDescent="0.2">
      <c r="A6" s="32" t="s">
        <v>37</v>
      </c>
      <c r="B6" s="42" t="s">
        <v>22</v>
      </c>
      <c r="C6" s="36" t="s">
        <v>14</v>
      </c>
    </row>
    <row r="7" spans="1:38" ht="15" customHeight="1" x14ac:dyDescent="0.2">
      <c r="B7" s="42" t="s">
        <v>24</v>
      </c>
      <c r="C7" s="36" t="s">
        <v>17</v>
      </c>
    </row>
    <row r="8" spans="1:38" ht="15" customHeight="1" x14ac:dyDescent="0.2">
      <c r="B8" s="42" t="s">
        <v>23</v>
      </c>
      <c r="C8" s="36" t="s">
        <v>18</v>
      </c>
    </row>
    <row r="9" spans="1:38" x14ac:dyDescent="0.2">
      <c r="A9" s="32" t="s">
        <v>38</v>
      </c>
      <c r="B9" s="42" t="s">
        <v>22</v>
      </c>
      <c r="C9" s="36" t="s">
        <v>27</v>
      </c>
    </row>
    <row r="10" spans="1:38" x14ac:dyDescent="0.2">
      <c r="B10" s="42" t="s">
        <v>24</v>
      </c>
      <c r="C10" s="36" t="s">
        <v>28</v>
      </c>
    </row>
    <row r="11" spans="1:38" x14ac:dyDescent="0.2">
      <c r="B11" s="42" t="s">
        <v>23</v>
      </c>
      <c r="C11" s="36" t="s">
        <v>29</v>
      </c>
    </row>
    <row r="12" spans="1:38" x14ac:dyDescent="0.2">
      <c r="A12" s="32" t="s">
        <v>39</v>
      </c>
      <c r="B12" s="42" t="s">
        <v>22</v>
      </c>
      <c r="C12" s="36" t="s">
        <v>32</v>
      </c>
    </row>
    <row r="13" spans="1:38" x14ac:dyDescent="0.2">
      <c r="B13" s="42" t="s">
        <v>24</v>
      </c>
      <c r="C13" s="36" t="s">
        <v>31</v>
      </c>
    </row>
    <row r="14" spans="1:38" x14ac:dyDescent="0.2">
      <c r="B14" s="42" t="s">
        <v>23</v>
      </c>
      <c r="C14" s="36" t="s">
        <v>33</v>
      </c>
    </row>
    <row r="15" spans="1:38" x14ac:dyDescent="0.2">
      <c r="A15" s="32" t="s">
        <v>40</v>
      </c>
      <c r="B15" s="42" t="s">
        <v>22</v>
      </c>
      <c r="C15" s="36" t="s">
        <v>41</v>
      </c>
    </row>
    <row r="16" spans="1:38" x14ac:dyDescent="0.2">
      <c r="B16" s="42" t="s">
        <v>24</v>
      </c>
      <c r="C16" s="36" t="s">
        <v>42</v>
      </c>
    </row>
    <row r="17" spans="1:3" x14ac:dyDescent="0.2">
      <c r="B17" s="42" t="s">
        <v>23</v>
      </c>
      <c r="C17" s="36" t="s">
        <v>43</v>
      </c>
    </row>
    <row r="18" spans="1:3" x14ac:dyDescent="0.2">
      <c r="A18" s="32" t="s">
        <v>80</v>
      </c>
      <c r="B18" s="42" t="s">
        <v>22</v>
      </c>
      <c r="C18" s="36" t="s">
        <v>58</v>
      </c>
    </row>
    <row r="19" spans="1:3" x14ac:dyDescent="0.2">
      <c r="B19" s="42" t="s">
        <v>24</v>
      </c>
      <c r="C19" s="36" t="s">
        <v>62</v>
      </c>
    </row>
    <row r="20" spans="1:3" x14ac:dyDescent="0.2">
      <c r="B20" s="42" t="s">
        <v>23</v>
      </c>
      <c r="C20" s="36" t="s">
        <v>81</v>
      </c>
    </row>
    <row r="21" spans="1:3" x14ac:dyDescent="0.2">
      <c r="A21" s="32" t="s">
        <v>82</v>
      </c>
      <c r="B21" s="42" t="s">
        <v>22</v>
      </c>
      <c r="C21" s="36" t="s">
        <v>74</v>
      </c>
    </row>
    <row r="22" spans="1:3" x14ac:dyDescent="0.2">
      <c r="B22" s="42" t="s">
        <v>24</v>
      </c>
      <c r="C22" s="36" t="s">
        <v>76</v>
      </c>
    </row>
    <row r="23" spans="1:3" x14ac:dyDescent="0.2">
      <c r="B23" s="42" t="s">
        <v>23</v>
      </c>
      <c r="C23" s="36" t="s">
        <v>79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68"/>
  <sheetViews>
    <sheetView showGridLines="0" topLeftCell="A20" zoomScaleNormal="100" zoomScalePageLayoutView="86" workbookViewId="0">
      <selection activeCell="B41" sqref="B41"/>
    </sheetView>
  </sheetViews>
  <sheetFormatPr defaultColWidth="9.140625" defaultRowHeight="14.25" x14ac:dyDescent="0.2"/>
  <cols>
    <col min="1" max="1" width="11.42578125" style="2" customWidth="1"/>
    <col min="2" max="15" width="12.140625" style="2" customWidth="1"/>
    <col min="16" max="16" width="12.5703125" style="2" customWidth="1"/>
    <col min="17" max="16384" width="9.140625" style="2"/>
  </cols>
  <sheetData>
    <row r="1" spans="1:15" ht="33.75" customHeight="1" x14ac:dyDescent="0.2"/>
    <row r="2" spans="1:15" ht="32.25" customHeight="1" x14ac:dyDescent="0.25">
      <c r="A2" s="66" t="s">
        <v>44</v>
      </c>
      <c r="B2" s="60" t="s">
        <v>7</v>
      </c>
      <c r="C2" s="3"/>
      <c r="D2" s="3"/>
      <c r="E2" s="3"/>
    </row>
    <row r="3" spans="1:15" ht="18.75" customHeight="1" thickBot="1" x14ac:dyDescent="0.55000000000000004">
      <c r="A3" s="52"/>
      <c r="B3" s="10" t="s">
        <v>1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17"/>
      <c r="O3" s="6" t="s">
        <v>2</v>
      </c>
    </row>
    <row r="4" spans="1:15" ht="32.25" customHeight="1" x14ac:dyDescent="0.2">
      <c r="A4" s="74" t="s">
        <v>64</v>
      </c>
      <c r="B4" s="58"/>
      <c r="C4" s="55"/>
      <c r="D4" s="55"/>
      <c r="E4" s="55"/>
      <c r="F4" s="55"/>
      <c r="G4" s="55"/>
      <c r="H4" s="63" t="s">
        <v>6</v>
      </c>
      <c r="I4" s="55"/>
      <c r="J4" s="55"/>
      <c r="K4" s="55"/>
      <c r="L4" s="55"/>
      <c r="M4" s="55"/>
      <c r="N4" s="55"/>
      <c r="O4" s="55"/>
    </row>
    <row r="5" spans="1:15" ht="43.5" customHeight="1" x14ac:dyDescent="0.2">
      <c r="A5" s="72" t="s">
        <v>65</v>
      </c>
      <c r="B5" s="54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54</v>
      </c>
      <c r="I5" s="24" t="s">
        <v>8</v>
      </c>
      <c r="J5" s="24" t="s">
        <v>55</v>
      </c>
      <c r="K5" s="24" t="s">
        <v>9</v>
      </c>
      <c r="L5" s="24" t="s">
        <v>56</v>
      </c>
      <c r="M5" s="24" t="s">
        <v>10</v>
      </c>
      <c r="N5" s="24" t="s">
        <v>57</v>
      </c>
      <c r="O5" s="24" t="s">
        <v>11</v>
      </c>
    </row>
    <row r="6" spans="1:15" ht="14.25" customHeight="1" x14ac:dyDescent="0.2">
      <c r="A6" s="16" t="s">
        <v>51</v>
      </c>
      <c r="B6" s="12">
        <v>75592</v>
      </c>
      <c r="C6" s="13">
        <f t="shared" ref="C6:C17" si="0">SUM(D6:O6)</f>
        <v>70434</v>
      </c>
      <c r="D6" s="15">
        <v>4106</v>
      </c>
      <c r="E6" s="15">
        <v>66328</v>
      </c>
      <c r="F6" s="15"/>
      <c r="G6" s="15"/>
      <c r="H6" s="15"/>
      <c r="I6" s="15"/>
      <c r="J6" s="15"/>
      <c r="K6" s="15"/>
      <c r="L6" s="15"/>
      <c r="M6" s="14"/>
      <c r="N6" s="15"/>
      <c r="O6" s="15"/>
    </row>
    <row r="7" spans="1:15" x14ac:dyDescent="0.2">
      <c r="A7" s="16" t="s">
        <v>52</v>
      </c>
      <c r="B7" s="12">
        <v>69936</v>
      </c>
      <c r="C7" s="13">
        <f t="shared" si="0"/>
        <v>61374</v>
      </c>
      <c r="D7" s="15"/>
      <c r="E7" s="15">
        <v>3258</v>
      </c>
      <c r="F7" s="15">
        <v>43105</v>
      </c>
      <c r="G7" s="15"/>
      <c r="H7" s="15">
        <v>14659</v>
      </c>
      <c r="I7" s="15"/>
      <c r="J7" s="15"/>
      <c r="K7" s="15"/>
      <c r="L7" s="15">
        <v>352</v>
      </c>
      <c r="M7" s="14"/>
      <c r="N7" s="15"/>
      <c r="O7" s="15"/>
    </row>
    <row r="8" spans="1:15" x14ac:dyDescent="0.2">
      <c r="A8" s="16" t="s">
        <v>53</v>
      </c>
      <c r="B8" s="12">
        <v>49225</v>
      </c>
      <c r="C8" s="13">
        <f t="shared" si="0"/>
        <v>46127</v>
      </c>
      <c r="D8" s="15"/>
      <c r="E8" s="15"/>
      <c r="F8" s="15">
        <v>3818</v>
      </c>
      <c r="G8" s="15">
        <v>38437</v>
      </c>
      <c r="H8" s="15">
        <v>3541</v>
      </c>
      <c r="I8" s="15">
        <v>111</v>
      </c>
      <c r="J8" s="15">
        <v>86</v>
      </c>
      <c r="K8" s="15"/>
      <c r="L8" s="15">
        <v>124</v>
      </c>
      <c r="M8" s="14">
        <v>4</v>
      </c>
      <c r="N8" s="15">
        <v>6</v>
      </c>
      <c r="O8" s="15"/>
    </row>
    <row r="9" spans="1:15" x14ac:dyDescent="0.2">
      <c r="A9" s="16" t="s">
        <v>0</v>
      </c>
      <c r="B9" s="12">
        <v>42058</v>
      </c>
      <c r="C9" s="13">
        <f t="shared" si="0"/>
        <v>11788</v>
      </c>
      <c r="D9" s="15"/>
      <c r="E9" s="15"/>
      <c r="F9" s="15">
        <v>15</v>
      </c>
      <c r="G9" s="15">
        <v>4165</v>
      </c>
      <c r="H9" s="15">
        <v>369</v>
      </c>
      <c r="I9" s="15">
        <v>32</v>
      </c>
      <c r="J9" s="15">
        <v>6762</v>
      </c>
      <c r="K9" s="15">
        <v>14</v>
      </c>
      <c r="L9" s="15">
        <v>10</v>
      </c>
      <c r="M9" s="14">
        <v>1</v>
      </c>
      <c r="N9" s="15">
        <v>420</v>
      </c>
      <c r="O9" s="15"/>
    </row>
    <row r="10" spans="1:15" x14ac:dyDescent="0.2">
      <c r="A10" s="16" t="s">
        <v>54</v>
      </c>
      <c r="B10" s="12">
        <v>35161</v>
      </c>
      <c r="C10" s="13">
        <f t="shared" si="0"/>
        <v>25331</v>
      </c>
      <c r="D10" s="15"/>
      <c r="E10" s="15"/>
      <c r="F10" s="15">
        <v>261</v>
      </c>
      <c r="G10" s="15">
        <v>66</v>
      </c>
      <c r="H10" s="15">
        <v>7381</v>
      </c>
      <c r="I10" s="15">
        <v>15964</v>
      </c>
      <c r="J10" s="15">
        <v>1558</v>
      </c>
      <c r="K10" s="15">
        <v>68</v>
      </c>
      <c r="L10" s="15">
        <v>27</v>
      </c>
      <c r="M10" s="14"/>
      <c r="N10" s="15">
        <v>6</v>
      </c>
      <c r="O10" s="15"/>
    </row>
    <row r="11" spans="1:15" x14ac:dyDescent="0.2">
      <c r="A11" s="16" t="s">
        <v>8</v>
      </c>
      <c r="B11" s="12">
        <v>23749</v>
      </c>
      <c r="C11" s="13">
        <f t="shared" si="0"/>
        <v>14097</v>
      </c>
      <c r="D11" s="15"/>
      <c r="E11" s="15"/>
      <c r="F11" s="15">
        <v>70</v>
      </c>
      <c r="G11" s="15">
        <v>20</v>
      </c>
      <c r="H11" s="15">
        <v>878</v>
      </c>
      <c r="I11" s="15">
        <v>7274</v>
      </c>
      <c r="J11" s="15">
        <v>5689</v>
      </c>
      <c r="K11" s="15">
        <v>140</v>
      </c>
      <c r="L11" s="15">
        <v>10</v>
      </c>
      <c r="M11" s="14"/>
      <c r="N11" s="15">
        <v>15</v>
      </c>
      <c r="O11" s="15">
        <v>1</v>
      </c>
    </row>
    <row r="12" spans="1:15" x14ac:dyDescent="0.2">
      <c r="A12" s="16" t="s">
        <v>55</v>
      </c>
      <c r="B12" s="12">
        <v>30322</v>
      </c>
      <c r="C12" s="13">
        <f t="shared" si="0"/>
        <v>25376</v>
      </c>
      <c r="D12" s="15"/>
      <c r="E12" s="15"/>
      <c r="F12" s="15">
        <v>7</v>
      </c>
      <c r="G12" s="15">
        <v>7</v>
      </c>
      <c r="H12" s="15">
        <v>110</v>
      </c>
      <c r="I12" s="15">
        <v>41</v>
      </c>
      <c r="J12" s="15">
        <v>2484</v>
      </c>
      <c r="K12" s="15">
        <v>22712</v>
      </c>
      <c r="L12" s="15"/>
      <c r="M12" s="14">
        <v>1</v>
      </c>
      <c r="N12" s="15">
        <v>12</v>
      </c>
      <c r="O12" s="15">
        <v>2</v>
      </c>
    </row>
    <row r="13" spans="1:15" x14ac:dyDescent="0.2">
      <c r="A13" s="16" t="s">
        <v>9</v>
      </c>
      <c r="B13" s="12">
        <v>28622</v>
      </c>
      <c r="C13" s="13">
        <f t="shared" si="0"/>
        <v>8181</v>
      </c>
      <c r="D13" s="15"/>
      <c r="E13" s="15"/>
      <c r="F13" s="15">
        <v>4</v>
      </c>
      <c r="G13" s="15">
        <v>6</v>
      </c>
      <c r="H13" s="15">
        <v>101</v>
      </c>
      <c r="I13" s="15">
        <v>27</v>
      </c>
      <c r="J13" s="15">
        <v>1026</v>
      </c>
      <c r="K13" s="15">
        <v>6983</v>
      </c>
      <c r="L13" s="15"/>
      <c r="M13" s="14"/>
      <c r="N13" s="15">
        <v>33</v>
      </c>
      <c r="O13" s="15">
        <v>1</v>
      </c>
    </row>
    <row r="14" spans="1:15" x14ac:dyDescent="0.2">
      <c r="A14" s="16" t="s">
        <v>56</v>
      </c>
      <c r="B14" s="12">
        <v>705</v>
      </c>
      <c r="C14" s="13">
        <f t="shared" si="0"/>
        <v>592</v>
      </c>
      <c r="D14" s="15"/>
      <c r="E14" s="15"/>
      <c r="F14" s="15">
        <v>7</v>
      </c>
      <c r="G14" s="15">
        <v>1</v>
      </c>
      <c r="H14" s="15">
        <v>12</v>
      </c>
      <c r="I14" s="15"/>
      <c r="J14" s="15">
        <v>3</v>
      </c>
      <c r="K14" s="15"/>
      <c r="L14" s="15">
        <v>97</v>
      </c>
      <c r="M14" s="14">
        <v>465</v>
      </c>
      <c r="N14" s="15">
        <v>6</v>
      </c>
      <c r="O14" s="15">
        <v>1</v>
      </c>
    </row>
    <row r="15" spans="1:15" x14ac:dyDescent="0.2">
      <c r="A15" s="16" t="s">
        <v>10</v>
      </c>
      <c r="B15" s="12">
        <v>550</v>
      </c>
      <c r="C15" s="13">
        <f t="shared" si="0"/>
        <v>339</v>
      </c>
      <c r="D15" s="15"/>
      <c r="E15" s="15"/>
      <c r="F15" s="15">
        <v>1</v>
      </c>
      <c r="G15" s="15"/>
      <c r="H15" s="15">
        <v>4</v>
      </c>
      <c r="I15" s="15">
        <v>3</v>
      </c>
      <c r="J15" s="15">
        <v>12</v>
      </c>
      <c r="K15" s="15"/>
      <c r="L15" s="15">
        <v>3</v>
      </c>
      <c r="M15" s="14">
        <v>118</v>
      </c>
      <c r="N15" s="15">
        <v>184</v>
      </c>
      <c r="O15" s="15">
        <v>14</v>
      </c>
    </row>
    <row r="16" spans="1:15" x14ac:dyDescent="0.2">
      <c r="A16" s="16" t="s">
        <v>57</v>
      </c>
      <c r="B16" s="12">
        <v>1580</v>
      </c>
      <c r="C16" s="13">
        <f t="shared" si="0"/>
        <v>1246</v>
      </c>
      <c r="D16" s="15"/>
      <c r="E16" s="15"/>
      <c r="F16" s="15">
        <v>2</v>
      </c>
      <c r="G16" s="15">
        <v>2</v>
      </c>
      <c r="H16" s="15">
        <v>2</v>
      </c>
      <c r="I16" s="15"/>
      <c r="J16" s="15">
        <v>27</v>
      </c>
      <c r="K16" s="15">
        <v>1</v>
      </c>
      <c r="L16" s="15">
        <v>2</v>
      </c>
      <c r="M16" s="14">
        <v>4</v>
      </c>
      <c r="N16" s="15">
        <v>175</v>
      </c>
      <c r="O16" s="15">
        <v>1031</v>
      </c>
    </row>
    <row r="17" spans="1:15" x14ac:dyDescent="0.2">
      <c r="A17" s="16" t="s">
        <v>11</v>
      </c>
      <c r="B17" s="12">
        <v>1974</v>
      </c>
      <c r="C17" s="13">
        <f t="shared" si="0"/>
        <v>896</v>
      </c>
      <c r="D17" s="15"/>
      <c r="E17" s="15"/>
      <c r="F17" s="15"/>
      <c r="G17" s="15"/>
      <c r="H17" s="15">
        <v>5</v>
      </c>
      <c r="I17" s="15">
        <v>1</v>
      </c>
      <c r="J17" s="15">
        <v>24</v>
      </c>
      <c r="K17" s="15">
        <v>3</v>
      </c>
      <c r="L17" s="15">
        <v>1</v>
      </c>
      <c r="M17" s="14"/>
      <c r="N17" s="15">
        <v>74</v>
      </c>
      <c r="O17" s="15">
        <v>788</v>
      </c>
    </row>
    <row r="18" spans="1:15" ht="15" thickBot="1" x14ac:dyDescent="0.25">
      <c r="A18" s="25" t="s">
        <v>25</v>
      </c>
      <c r="B18" s="30">
        <f>SUM(B6:B17)</f>
        <v>359474</v>
      </c>
      <c r="C18" s="31">
        <f>SUM(C6:C17)</f>
        <v>265781</v>
      </c>
      <c r="D18" s="31">
        <f>SUM(D6:D17)</f>
        <v>4106</v>
      </c>
      <c r="E18" s="31">
        <f>SUM(E6:E17)</f>
        <v>69586</v>
      </c>
      <c r="F18" s="31">
        <f t="shared" ref="F18:O18" si="1">SUM(F6:F17)</f>
        <v>47290</v>
      </c>
      <c r="G18" s="31">
        <f t="shared" si="1"/>
        <v>42704</v>
      </c>
      <c r="H18" s="31">
        <f t="shared" si="1"/>
        <v>27062</v>
      </c>
      <c r="I18" s="31">
        <f t="shared" si="1"/>
        <v>23453</v>
      </c>
      <c r="J18" s="31">
        <f t="shared" si="1"/>
        <v>17671</v>
      </c>
      <c r="K18" s="31">
        <f t="shared" si="1"/>
        <v>29921</v>
      </c>
      <c r="L18" s="31">
        <f t="shared" si="1"/>
        <v>626</v>
      </c>
      <c r="M18" s="31">
        <f t="shared" si="1"/>
        <v>593</v>
      </c>
      <c r="N18" s="31">
        <f t="shared" si="1"/>
        <v>931</v>
      </c>
      <c r="O18" s="31">
        <f t="shared" si="1"/>
        <v>1838</v>
      </c>
    </row>
    <row r="19" spans="1:15" x14ac:dyDescent="0.2">
      <c r="A19" s="7" t="s">
        <v>47</v>
      </c>
      <c r="B19" s="7"/>
    </row>
    <row r="20" spans="1:15" x14ac:dyDescent="0.2">
      <c r="A20" s="11"/>
      <c r="B20" s="47"/>
    </row>
    <row r="21" spans="1:15" ht="12" customHeight="1" x14ac:dyDescent="0.2">
      <c r="A21" s="11"/>
    </row>
    <row r="22" spans="1:15" ht="24" customHeight="1" x14ac:dyDescent="0.25">
      <c r="A22" s="65" t="s">
        <v>45</v>
      </c>
      <c r="B22" s="60" t="s">
        <v>4</v>
      </c>
      <c r="C22" s="3"/>
      <c r="D22" s="3"/>
      <c r="E22" s="3"/>
    </row>
    <row r="23" spans="1:15" ht="16.5" customHeight="1" thickBot="1" x14ac:dyDescent="0.3">
      <c r="A23" s="62"/>
      <c r="B23" s="10" t="s">
        <v>1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17"/>
      <c r="O23" s="21" t="s">
        <v>3</v>
      </c>
    </row>
    <row r="24" spans="1:15" ht="38.25" customHeight="1" x14ac:dyDescent="0.2">
      <c r="A24" s="71" t="s">
        <v>64</v>
      </c>
      <c r="B24" s="53"/>
      <c r="C24" s="57"/>
      <c r="D24" s="57"/>
      <c r="E24" s="57"/>
      <c r="F24" s="57"/>
      <c r="G24" s="57"/>
      <c r="H24" s="59" t="s">
        <v>6</v>
      </c>
      <c r="I24" s="57"/>
      <c r="J24" s="57"/>
      <c r="K24" s="57"/>
      <c r="L24" s="57"/>
      <c r="M24" s="57"/>
      <c r="N24" s="57"/>
      <c r="O24" s="57"/>
    </row>
    <row r="25" spans="1:15" ht="43.5" customHeight="1" x14ac:dyDescent="0.2">
      <c r="A25" s="72" t="s">
        <v>65</v>
      </c>
      <c r="B25" s="54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54</v>
      </c>
      <c r="I25" s="24" t="s">
        <v>8</v>
      </c>
      <c r="J25" s="24" t="s">
        <v>55</v>
      </c>
      <c r="K25" s="24" t="s">
        <v>9</v>
      </c>
      <c r="L25" s="24" t="s">
        <v>56</v>
      </c>
      <c r="M25" s="24" t="s">
        <v>10</v>
      </c>
      <c r="N25" s="24" t="s">
        <v>57</v>
      </c>
      <c r="O25" s="24" t="s">
        <v>11</v>
      </c>
    </row>
    <row r="26" spans="1:15" ht="14.25" customHeight="1" x14ac:dyDescent="0.2">
      <c r="A26" s="16" t="s">
        <v>51</v>
      </c>
      <c r="B26" s="12">
        <f t="shared" ref="B26:B38" si="2">B6/B6*100</f>
        <v>100</v>
      </c>
      <c r="C26" s="19">
        <f t="shared" ref="C26:C38" si="3">SUM(D26:O26)</f>
        <v>93.17652661657317</v>
      </c>
      <c r="D26" s="18">
        <f>D6/$B$6*100</f>
        <v>5.4317917239919566</v>
      </c>
      <c r="E26" s="18">
        <f t="shared" ref="E26:O26" si="4">E6/$B$6*100</f>
        <v>87.744734892581221</v>
      </c>
      <c r="F26" s="18">
        <f t="shared" si="4"/>
        <v>0</v>
      </c>
      <c r="G26" s="18">
        <f t="shared" si="4"/>
        <v>0</v>
      </c>
      <c r="H26" s="18">
        <f t="shared" si="4"/>
        <v>0</v>
      </c>
      <c r="I26" s="18">
        <f t="shared" si="4"/>
        <v>0</v>
      </c>
      <c r="J26" s="18">
        <f t="shared" si="4"/>
        <v>0</v>
      </c>
      <c r="K26" s="18">
        <f t="shared" si="4"/>
        <v>0</v>
      </c>
      <c r="L26" s="18">
        <f t="shared" si="4"/>
        <v>0</v>
      </c>
      <c r="M26" s="18">
        <f t="shared" si="4"/>
        <v>0</v>
      </c>
      <c r="N26" s="18">
        <f t="shared" si="4"/>
        <v>0</v>
      </c>
      <c r="O26" s="18">
        <f t="shared" si="4"/>
        <v>0</v>
      </c>
    </row>
    <row r="27" spans="1:15" x14ac:dyDescent="0.2">
      <c r="A27" s="16" t="s">
        <v>52</v>
      </c>
      <c r="B27" s="12">
        <f t="shared" si="2"/>
        <v>100</v>
      </c>
      <c r="C27" s="19">
        <f t="shared" si="3"/>
        <v>87.75737817433081</v>
      </c>
      <c r="D27" s="18">
        <f t="shared" ref="D27:O27" si="5">D7/$B$7*100</f>
        <v>0</v>
      </c>
      <c r="E27" s="18">
        <f t="shared" si="5"/>
        <v>4.6585449553877831</v>
      </c>
      <c r="F27" s="18">
        <f t="shared" si="5"/>
        <v>61.634923358499194</v>
      </c>
      <c r="G27" s="18">
        <f t="shared" si="5"/>
        <v>0</v>
      </c>
      <c r="H27" s="18">
        <f t="shared" si="5"/>
        <v>20.960592541752458</v>
      </c>
      <c r="I27" s="18">
        <f t="shared" si="5"/>
        <v>0</v>
      </c>
      <c r="J27" s="18">
        <f t="shared" si="5"/>
        <v>0</v>
      </c>
      <c r="K27" s="18">
        <f t="shared" si="5"/>
        <v>0</v>
      </c>
      <c r="L27" s="18">
        <f t="shared" si="5"/>
        <v>0.50331731869137497</v>
      </c>
      <c r="M27" s="18">
        <f t="shared" si="5"/>
        <v>0</v>
      </c>
      <c r="N27" s="18">
        <f t="shared" si="5"/>
        <v>0</v>
      </c>
      <c r="O27" s="18">
        <f t="shared" si="5"/>
        <v>0</v>
      </c>
    </row>
    <row r="28" spans="1:15" x14ac:dyDescent="0.2">
      <c r="A28" s="16" t="s">
        <v>53</v>
      </c>
      <c r="B28" s="12">
        <f t="shared" si="2"/>
        <v>100</v>
      </c>
      <c r="C28" s="19">
        <f t="shared" si="3"/>
        <v>93.7064499746064</v>
      </c>
      <c r="D28" s="18">
        <f t="shared" ref="D28:O28" si="6">D8/$B$8*100</f>
        <v>0</v>
      </c>
      <c r="E28" s="18">
        <f t="shared" si="6"/>
        <v>0</v>
      </c>
      <c r="F28" s="18">
        <f t="shared" si="6"/>
        <v>7.7562214321990854</v>
      </c>
      <c r="G28" s="18">
        <f t="shared" si="6"/>
        <v>78.08430675469782</v>
      </c>
      <c r="H28" s="18">
        <f t="shared" si="6"/>
        <v>7.1934992381919765</v>
      </c>
      <c r="I28" s="18">
        <f t="shared" si="6"/>
        <v>0.22549517521584561</v>
      </c>
      <c r="J28" s="18">
        <f t="shared" si="6"/>
        <v>0.17470797359065515</v>
      </c>
      <c r="K28" s="18">
        <f t="shared" si="6"/>
        <v>0</v>
      </c>
      <c r="L28" s="18">
        <f t="shared" si="6"/>
        <v>0.2519045200609446</v>
      </c>
      <c r="M28" s="18">
        <f t="shared" si="6"/>
        <v>8.1259522600304716E-3</v>
      </c>
      <c r="N28" s="18">
        <f t="shared" si="6"/>
        <v>1.2188928390045707E-2</v>
      </c>
      <c r="O28" s="18">
        <f t="shared" si="6"/>
        <v>0</v>
      </c>
    </row>
    <row r="29" spans="1:15" x14ac:dyDescent="0.2">
      <c r="A29" s="16" t="s">
        <v>0</v>
      </c>
      <c r="B29" s="12">
        <f t="shared" si="2"/>
        <v>100</v>
      </c>
      <c r="C29" s="19">
        <f t="shared" si="3"/>
        <v>28.027961386656518</v>
      </c>
      <c r="D29" s="18">
        <f t="shared" ref="D29:O29" si="7">D9/$B$9*100</f>
        <v>0</v>
      </c>
      <c r="E29" s="18">
        <f t="shared" si="7"/>
        <v>0</v>
      </c>
      <c r="F29" s="18">
        <f t="shared" si="7"/>
        <v>3.5665034000665743E-2</v>
      </c>
      <c r="G29" s="18">
        <f t="shared" si="7"/>
        <v>9.9029911075181882</v>
      </c>
      <c r="H29" s="18">
        <f t="shared" si="7"/>
        <v>0.87735983641637738</v>
      </c>
      <c r="I29" s="18">
        <f t="shared" si="7"/>
        <v>7.6085405868086931E-2</v>
      </c>
      <c r="J29" s="18">
        <f t="shared" si="7"/>
        <v>16.077797327500118</v>
      </c>
      <c r="K29" s="18">
        <f t="shared" si="7"/>
        <v>3.3287365067288029E-2</v>
      </c>
      <c r="L29" s="18">
        <f t="shared" si="7"/>
        <v>2.3776689333777162E-2</v>
      </c>
      <c r="M29" s="18">
        <f t="shared" si="7"/>
        <v>2.3776689333777166E-3</v>
      </c>
      <c r="N29" s="18">
        <f t="shared" si="7"/>
        <v>0.99862095201864087</v>
      </c>
      <c r="O29" s="18">
        <f t="shared" si="7"/>
        <v>0</v>
      </c>
    </row>
    <row r="30" spans="1:15" x14ac:dyDescent="0.2">
      <c r="A30" s="16" t="s">
        <v>54</v>
      </c>
      <c r="B30" s="12">
        <f t="shared" si="2"/>
        <v>100</v>
      </c>
      <c r="C30" s="19">
        <f t="shared" si="3"/>
        <v>72.042888427519131</v>
      </c>
      <c r="D30" s="18">
        <f t="shared" ref="D30:O30" si="8">D10/$B$10*100</f>
        <v>0</v>
      </c>
      <c r="E30" s="18">
        <f t="shared" si="8"/>
        <v>0</v>
      </c>
      <c r="F30" s="18">
        <f t="shared" si="8"/>
        <v>0.74229970706180148</v>
      </c>
      <c r="G30" s="18">
        <f t="shared" si="8"/>
        <v>0.18770797190068542</v>
      </c>
      <c r="H30" s="18">
        <f t="shared" si="8"/>
        <v>20.992008190893319</v>
      </c>
      <c r="I30" s="18">
        <f t="shared" si="8"/>
        <v>45.402576718523363</v>
      </c>
      <c r="J30" s="18">
        <f t="shared" si="8"/>
        <v>4.4310457609283009</v>
      </c>
      <c r="K30" s="18">
        <f t="shared" si="8"/>
        <v>0.19339609226131227</v>
      </c>
      <c r="L30" s="18">
        <f t="shared" si="8"/>
        <v>7.678962486846222E-2</v>
      </c>
      <c r="M30" s="18">
        <f t="shared" si="8"/>
        <v>0</v>
      </c>
      <c r="N30" s="18">
        <f t="shared" si="8"/>
        <v>1.7064361081880492E-2</v>
      </c>
      <c r="O30" s="18">
        <f t="shared" si="8"/>
        <v>0</v>
      </c>
    </row>
    <row r="31" spans="1:15" x14ac:dyDescent="0.2">
      <c r="A31" s="16" t="s">
        <v>8</v>
      </c>
      <c r="B31" s="12">
        <f t="shared" si="2"/>
        <v>100</v>
      </c>
      <c r="C31" s="19">
        <f t="shared" si="3"/>
        <v>59.358288770053477</v>
      </c>
      <c r="D31" s="18">
        <f t="shared" ref="D31:O31" si="9">D11/$B$11*100</f>
        <v>0</v>
      </c>
      <c r="E31" s="18">
        <f t="shared" si="9"/>
        <v>0</v>
      </c>
      <c r="F31" s="18">
        <f t="shared" si="9"/>
        <v>0.29474925260010948</v>
      </c>
      <c r="G31" s="18">
        <f t="shared" si="9"/>
        <v>8.4214072171459847E-2</v>
      </c>
      <c r="H31" s="18">
        <f t="shared" si="9"/>
        <v>3.6969977683270869</v>
      </c>
      <c r="I31" s="18">
        <f t="shared" si="9"/>
        <v>30.628658048759949</v>
      </c>
      <c r="J31" s="18">
        <f t="shared" si="9"/>
        <v>23.954692829171755</v>
      </c>
      <c r="K31" s="18">
        <f t="shared" si="9"/>
        <v>0.58949850520021896</v>
      </c>
      <c r="L31" s="18">
        <f t="shared" si="9"/>
        <v>4.2107036085729924E-2</v>
      </c>
      <c r="M31" s="18">
        <f t="shared" si="9"/>
        <v>0</v>
      </c>
      <c r="N31" s="18">
        <f t="shared" si="9"/>
        <v>6.3160554128594892E-2</v>
      </c>
      <c r="O31" s="18">
        <f t="shared" si="9"/>
        <v>4.2107036085729929E-3</v>
      </c>
    </row>
    <row r="32" spans="1:15" x14ac:dyDescent="0.2">
      <c r="A32" s="16" t="s">
        <v>55</v>
      </c>
      <c r="B32" s="12">
        <f t="shared" si="2"/>
        <v>100</v>
      </c>
      <c r="C32" s="19">
        <f t="shared" si="3"/>
        <v>83.688411054679761</v>
      </c>
      <c r="D32" s="18">
        <f t="shared" ref="D32:O32" si="10">D12/$B$12*100</f>
        <v>0</v>
      </c>
      <c r="E32" s="18">
        <f t="shared" si="10"/>
        <v>0</v>
      </c>
      <c r="F32" s="18">
        <f t="shared" si="10"/>
        <v>2.3085548446672384E-2</v>
      </c>
      <c r="G32" s="18">
        <f t="shared" si="10"/>
        <v>2.3085548446672384E-2</v>
      </c>
      <c r="H32" s="18">
        <f t="shared" si="10"/>
        <v>0.36277290416199459</v>
      </c>
      <c r="I32" s="18">
        <f t="shared" si="10"/>
        <v>0.13521535518765251</v>
      </c>
      <c r="J32" s="18">
        <f t="shared" si="10"/>
        <v>8.1920717630763136</v>
      </c>
      <c r="K32" s="18">
        <f t="shared" si="10"/>
        <v>74.902710902974732</v>
      </c>
      <c r="L32" s="18">
        <f t="shared" si="10"/>
        <v>0</v>
      </c>
      <c r="M32" s="18">
        <f t="shared" si="10"/>
        <v>3.2979354923817687E-3</v>
      </c>
      <c r="N32" s="18">
        <f t="shared" si="10"/>
        <v>3.957522590858123E-2</v>
      </c>
      <c r="O32" s="18">
        <f t="shared" si="10"/>
        <v>6.5958709847635374E-3</v>
      </c>
    </row>
    <row r="33" spans="1:16" x14ac:dyDescent="0.2">
      <c r="A33" s="16" t="s">
        <v>9</v>
      </c>
      <c r="B33" s="12">
        <f t="shared" si="2"/>
        <v>100</v>
      </c>
      <c r="C33" s="19">
        <f t="shared" si="3"/>
        <v>28.582908252393267</v>
      </c>
      <c r="D33" s="18">
        <f t="shared" ref="D33:O33" si="11">D13/$B$13*100</f>
        <v>0</v>
      </c>
      <c r="E33" s="18">
        <f t="shared" si="11"/>
        <v>0</v>
      </c>
      <c r="F33" s="18">
        <f t="shared" si="11"/>
        <v>1.3975263783103906E-2</v>
      </c>
      <c r="G33" s="18">
        <f t="shared" si="11"/>
        <v>2.0962895674655858E-2</v>
      </c>
      <c r="H33" s="18">
        <f t="shared" si="11"/>
        <v>0.35287541052337362</v>
      </c>
      <c r="I33" s="18">
        <f t="shared" si="11"/>
        <v>9.4333030535951365E-2</v>
      </c>
      <c r="J33" s="18">
        <f t="shared" si="11"/>
        <v>3.5846551603661521</v>
      </c>
      <c r="K33" s="18">
        <f t="shared" si="11"/>
        <v>24.397316749353646</v>
      </c>
      <c r="L33" s="18">
        <f t="shared" si="11"/>
        <v>0</v>
      </c>
      <c r="M33" s="18">
        <f t="shared" si="11"/>
        <v>0</v>
      </c>
      <c r="N33" s="18">
        <f t="shared" si="11"/>
        <v>0.11529592621060722</v>
      </c>
      <c r="O33" s="18">
        <f t="shared" si="11"/>
        <v>3.4938159457759766E-3</v>
      </c>
    </row>
    <row r="34" spans="1:16" x14ac:dyDescent="0.2">
      <c r="A34" s="16" t="s">
        <v>56</v>
      </c>
      <c r="B34" s="12">
        <f t="shared" si="2"/>
        <v>100</v>
      </c>
      <c r="C34" s="19">
        <f t="shared" si="3"/>
        <v>83.971631205673759</v>
      </c>
      <c r="D34" s="18">
        <f t="shared" ref="D34:O34" si="12">D14/$B$14*100</f>
        <v>0</v>
      </c>
      <c r="E34" s="18">
        <f t="shared" si="12"/>
        <v>0</v>
      </c>
      <c r="F34" s="18">
        <f t="shared" si="12"/>
        <v>0.99290780141843982</v>
      </c>
      <c r="G34" s="18">
        <f t="shared" si="12"/>
        <v>0.14184397163120568</v>
      </c>
      <c r="H34" s="18">
        <f t="shared" si="12"/>
        <v>1.7021276595744681</v>
      </c>
      <c r="I34" s="18">
        <f t="shared" si="12"/>
        <v>0</v>
      </c>
      <c r="J34" s="18">
        <f t="shared" si="12"/>
        <v>0.42553191489361702</v>
      </c>
      <c r="K34" s="18">
        <f t="shared" si="12"/>
        <v>0</v>
      </c>
      <c r="L34" s="18">
        <f t="shared" si="12"/>
        <v>13.75886524822695</v>
      </c>
      <c r="M34" s="18">
        <f t="shared" si="12"/>
        <v>65.957446808510639</v>
      </c>
      <c r="N34" s="18">
        <f t="shared" si="12"/>
        <v>0.85106382978723405</v>
      </c>
      <c r="O34" s="18">
        <f t="shared" si="12"/>
        <v>0.14184397163120568</v>
      </c>
    </row>
    <row r="35" spans="1:16" x14ac:dyDescent="0.2">
      <c r="A35" s="16" t="s">
        <v>10</v>
      </c>
      <c r="B35" s="12">
        <f t="shared" si="2"/>
        <v>100</v>
      </c>
      <c r="C35" s="19">
        <f t="shared" si="3"/>
        <v>61.63636363636364</v>
      </c>
      <c r="D35" s="18">
        <f t="shared" ref="D35:O35" si="13">D15/$B$15*100</f>
        <v>0</v>
      </c>
      <c r="E35" s="18">
        <f t="shared" si="13"/>
        <v>0</v>
      </c>
      <c r="F35" s="18">
        <f t="shared" si="13"/>
        <v>0.18181818181818182</v>
      </c>
      <c r="G35" s="18">
        <f t="shared" si="13"/>
        <v>0</v>
      </c>
      <c r="H35" s="18">
        <f t="shared" si="13"/>
        <v>0.72727272727272729</v>
      </c>
      <c r="I35" s="18">
        <f t="shared" si="13"/>
        <v>0.54545454545454553</v>
      </c>
      <c r="J35" s="18">
        <f t="shared" si="13"/>
        <v>2.1818181818181821</v>
      </c>
      <c r="K35" s="18">
        <f t="shared" si="13"/>
        <v>0</v>
      </c>
      <c r="L35" s="18">
        <f t="shared" si="13"/>
        <v>0.54545454545454553</v>
      </c>
      <c r="M35" s="18">
        <f t="shared" si="13"/>
        <v>21.454545454545453</v>
      </c>
      <c r="N35" s="18">
        <f t="shared" si="13"/>
        <v>33.454545454545453</v>
      </c>
      <c r="O35" s="18">
        <f t="shared" si="13"/>
        <v>2.5454545454545454</v>
      </c>
    </row>
    <row r="36" spans="1:16" x14ac:dyDescent="0.2">
      <c r="A36" s="16" t="s">
        <v>57</v>
      </c>
      <c r="B36" s="12">
        <f t="shared" si="2"/>
        <v>100</v>
      </c>
      <c r="C36" s="19">
        <f t="shared" si="3"/>
        <v>78.860759493670898</v>
      </c>
      <c r="D36" s="18">
        <f t="shared" ref="D36:O36" si="14">D16/$B$16*100</f>
        <v>0</v>
      </c>
      <c r="E36" s="18">
        <f t="shared" si="14"/>
        <v>0</v>
      </c>
      <c r="F36" s="18">
        <f t="shared" si="14"/>
        <v>0.12658227848101267</v>
      </c>
      <c r="G36" s="18">
        <f t="shared" si="14"/>
        <v>0.12658227848101267</v>
      </c>
      <c r="H36" s="18">
        <f t="shared" si="14"/>
        <v>0.12658227848101267</v>
      </c>
      <c r="I36" s="18">
        <f t="shared" si="14"/>
        <v>0</v>
      </c>
      <c r="J36" s="18">
        <f t="shared" si="14"/>
        <v>1.7088607594936709</v>
      </c>
      <c r="K36" s="18">
        <f t="shared" si="14"/>
        <v>6.3291139240506333E-2</v>
      </c>
      <c r="L36" s="18">
        <f t="shared" si="14"/>
        <v>0.12658227848101267</v>
      </c>
      <c r="M36" s="18">
        <f t="shared" si="14"/>
        <v>0.25316455696202533</v>
      </c>
      <c r="N36" s="18">
        <f t="shared" si="14"/>
        <v>11.075949367088606</v>
      </c>
      <c r="O36" s="18">
        <f t="shared" si="14"/>
        <v>65.253164556962034</v>
      </c>
    </row>
    <row r="37" spans="1:16" x14ac:dyDescent="0.2">
      <c r="A37" s="16" t="s">
        <v>11</v>
      </c>
      <c r="B37" s="12">
        <f t="shared" si="2"/>
        <v>100</v>
      </c>
      <c r="C37" s="19">
        <f t="shared" si="3"/>
        <v>45.390070921985817</v>
      </c>
      <c r="D37" s="18">
        <f t="shared" ref="D37:O37" si="15">D17/$B$17*100</f>
        <v>0</v>
      </c>
      <c r="E37" s="18">
        <f t="shared" si="15"/>
        <v>0</v>
      </c>
      <c r="F37" s="18">
        <f t="shared" si="15"/>
        <v>0</v>
      </c>
      <c r="G37" s="18">
        <f t="shared" si="15"/>
        <v>0</v>
      </c>
      <c r="H37" s="18">
        <f t="shared" si="15"/>
        <v>0.25329280648429586</v>
      </c>
      <c r="I37" s="18">
        <f t="shared" si="15"/>
        <v>5.0658561296859174E-2</v>
      </c>
      <c r="J37" s="18">
        <f t="shared" si="15"/>
        <v>1.21580547112462</v>
      </c>
      <c r="K37" s="18">
        <f t="shared" si="15"/>
        <v>0.1519756838905775</v>
      </c>
      <c r="L37" s="18">
        <f t="shared" si="15"/>
        <v>5.0658561296859174E-2</v>
      </c>
      <c r="M37" s="18">
        <f t="shared" si="15"/>
        <v>0</v>
      </c>
      <c r="N37" s="18">
        <f t="shared" si="15"/>
        <v>3.7487335359675784</v>
      </c>
      <c r="O37" s="18">
        <f t="shared" si="15"/>
        <v>39.918946301925025</v>
      </c>
    </row>
    <row r="38" spans="1:16" ht="15" thickBot="1" x14ac:dyDescent="0.25">
      <c r="A38" s="25" t="s">
        <v>13</v>
      </c>
      <c r="B38" s="28">
        <f t="shared" si="2"/>
        <v>100</v>
      </c>
      <c r="C38" s="29">
        <f t="shared" si="3"/>
        <v>73.936084389969793</v>
      </c>
      <c r="D38" s="29">
        <f t="shared" ref="D38:O38" si="16">D18/$B$18*100</f>
        <v>1.1422244724235966</v>
      </c>
      <c r="E38" s="29">
        <f t="shared" si="16"/>
        <v>19.357728236256307</v>
      </c>
      <c r="F38" s="29">
        <f t="shared" si="16"/>
        <v>13.155332513617118</v>
      </c>
      <c r="G38" s="29">
        <f t="shared" si="16"/>
        <v>11.879579607982775</v>
      </c>
      <c r="H38" s="29">
        <f t="shared" si="16"/>
        <v>7.5282217907275628</v>
      </c>
      <c r="I38" s="29">
        <f t="shared" si="16"/>
        <v>6.5242548835242609</v>
      </c>
      <c r="J38" s="29">
        <f t="shared" si="16"/>
        <v>4.9157936318064728</v>
      </c>
      <c r="K38" s="29">
        <f t="shared" si="16"/>
        <v>8.3235505210390741</v>
      </c>
      <c r="L38" s="29">
        <f t="shared" si="16"/>
        <v>0.1741433316456823</v>
      </c>
      <c r="M38" s="29">
        <f t="shared" si="16"/>
        <v>0.16496325186244346</v>
      </c>
      <c r="N38" s="29">
        <f t="shared" si="16"/>
        <v>0.25898952358167765</v>
      </c>
      <c r="O38" s="29">
        <f t="shared" si="16"/>
        <v>0.51130262550281802</v>
      </c>
    </row>
    <row r="39" spans="1:16" x14ac:dyDescent="0.2">
      <c r="A39" s="7" t="s">
        <v>47</v>
      </c>
      <c r="B39" s="7"/>
      <c r="P39" s="20"/>
    </row>
    <row r="40" spans="1:16" x14ac:dyDescent="0.2">
      <c r="A40" s="7"/>
      <c r="B40" s="7"/>
    </row>
    <row r="41" spans="1:16" ht="22.5" customHeight="1" x14ac:dyDescent="0.25">
      <c r="A41" s="65" t="s">
        <v>46</v>
      </c>
      <c r="B41" s="60" t="s">
        <v>5</v>
      </c>
      <c r="C41" s="3"/>
      <c r="D41" s="3"/>
      <c r="E41" s="3"/>
    </row>
    <row r="42" spans="1:16" ht="16.5" customHeight="1" thickBot="1" x14ac:dyDescent="0.3">
      <c r="A42" s="67"/>
      <c r="B42" s="10" t="s">
        <v>1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17"/>
      <c r="O42" s="21" t="s">
        <v>3</v>
      </c>
    </row>
    <row r="43" spans="1:16" ht="34.5" customHeight="1" x14ac:dyDescent="0.2">
      <c r="A43" s="71" t="s">
        <v>64</v>
      </c>
      <c r="B43" s="69"/>
      <c r="C43" s="55"/>
      <c r="D43" s="55"/>
      <c r="E43" s="55"/>
      <c r="F43" s="55"/>
      <c r="G43" s="55"/>
      <c r="H43" s="63" t="s">
        <v>6</v>
      </c>
      <c r="I43" s="55"/>
      <c r="J43" s="55"/>
      <c r="K43" s="55"/>
      <c r="L43" s="55"/>
      <c r="M43" s="55"/>
      <c r="N43" s="55"/>
      <c r="O43" s="55"/>
    </row>
    <row r="44" spans="1:16" ht="43.5" customHeight="1" x14ac:dyDescent="0.2">
      <c r="A44" s="72" t="s">
        <v>65</v>
      </c>
      <c r="B44" s="70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54</v>
      </c>
      <c r="I44" s="24" t="s">
        <v>8</v>
      </c>
      <c r="J44" s="24" t="s">
        <v>55</v>
      </c>
      <c r="K44" s="24" t="s">
        <v>9</v>
      </c>
      <c r="L44" s="24" t="s">
        <v>56</v>
      </c>
      <c r="M44" s="24" t="s">
        <v>10</v>
      </c>
      <c r="N44" s="24" t="s">
        <v>57</v>
      </c>
      <c r="O44" s="24" t="s">
        <v>11</v>
      </c>
    </row>
    <row r="45" spans="1:16" ht="14.25" customHeight="1" x14ac:dyDescent="0.25">
      <c r="A45" s="16" t="s">
        <v>51</v>
      </c>
      <c r="B45" s="22"/>
      <c r="C45" s="19">
        <f t="shared" ref="C45:C56" si="17">C6/$C$18*100</f>
        <v>26.500765667974761</v>
      </c>
      <c r="D45" s="18">
        <f t="shared" ref="D45:D57" si="18">D6/$D$18*100</f>
        <v>100</v>
      </c>
      <c r="E45" s="18">
        <f>E6/$E$18*100</f>
        <v>95.318023740407554</v>
      </c>
      <c r="F45" s="18">
        <f t="shared" ref="F45:F57" si="19">F6/$F$18*100</f>
        <v>0</v>
      </c>
      <c r="G45" s="18">
        <f t="shared" ref="G45:G57" si="20">G6/$G$18*100</f>
        <v>0</v>
      </c>
      <c r="H45" s="18">
        <f t="shared" ref="H45:H57" si="21">H6/$H$18*100</f>
        <v>0</v>
      </c>
      <c r="I45" s="18">
        <f t="shared" ref="I45:I57" si="22">I6/$I$18*100</f>
        <v>0</v>
      </c>
      <c r="J45" s="18">
        <f t="shared" ref="J45:J57" si="23">J6/$J$18*100</f>
        <v>0</v>
      </c>
      <c r="K45" s="18">
        <f t="shared" ref="K45:K57" si="24">K6/$K$18*100</f>
        <v>0</v>
      </c>
      <c r="L45" s="18">
        <f t="shared" ref="L45:L57" si="25">L6/$L$18*100</f>
        <v>0</v>
      </c>
      <c r="M45" s="18">
        <f t="shared" ref="M45:M57" si="26">M6/$M$18*100</f>
        <v>0</v>
      </c>
      <c r="N45" s="18">
        <f t="shared" ref="N45:N57" si="27">N6/$N$18*100</f>
        <v>0</v>
      </c>
      <c r="O45" s="18">
        <f t="shared" ref="O45:O57" si="28">O6/$O$18*100</f>
        <v>0</v>
      </c>
    </row>
    <row r="46" spans="1:16" ht="15" x14ac:dyDescent="0.25">
      <c r="A46" s="16" t="s">
        <v>52</v>
      </c>
      <c r="B46" s="22"/>
      <c r="C46" s="19">
        <f t="shared" si="17"/>
        <v>23.09194411940658</v>
      </c>
      <c r="D46" s="18">
        <f t="shared" si="18"/>
        <v>0</v>
      </c>
      <c r="E46" s="18">
        <f t="shared" ref="E46:E57" si="29">E7/$E$18*100</f>
        <v>4.6819762595924468</v>
      </c>
      <c r="F46" s="18">
        <f t="shared" si="19"/>
        <v>91.150348910974827</v>
      </c>
      <c r="G46" s="18">
        <f t="shared" si="20"/>
        <v>0</v>
      </c>
      <c r="H46" s="18">
        <f t="shared" si="21"/>
        <v>54.16820634099475</v>
      </c>
      <c r="I46" s="18">
        <f t="shared" si="22"/>
        <v>0</v>
      </c>
      <c r="J46" s="18">
        <f t="shared" si="23"/>
        <v>0</v>
      </c>
      <c r="K46" s="18">
        <f t="shared" si="24"/>
        <v>0</v>
      </c>
      <c r="L46" s="18">
        <f t="shared" si="25"/>
        <v>56.230031948881788</v>
      </c>
      <c r="M46" s="18">
        <f t="shared" si="26"/>
        <v>0</v>
      </c>
      <c r="N46" s="18">
        <f t="shared" si="27"/>
        <v>0</v>
      </c>
      <c r="O46" s="18">
        <f t="shared" si="28"/>
        <v>0</v>
      </c>
    </row>
    <row r="47" spans="1:16" ht="15" x14ac:dyDescent="0.25">
      <c r="A47" s="16" t="s">
        <v>53</v>
      </c>
      <c r="B47" s="22"/>
      <c r="C47" s="19">
        <f t="shared" si="17"/>
        <v>17.355266177792995</v>
      </c>
      <c r="D47" s="18">
        <f t="shared" si="18"/>
        <v>0</v>
      </c>
      <c r="E47" s="18">
        <f t="shared" si="29"/>
        <v>0</v>
      </c>
      <c r="F47" s="18">
        <f t="shared" si="19"/>
        <v>8.0735884965108902</v>
      </c>
      <c r="G47" s="18">
        <f t="shared" si="20"/>
        <v>90.007961783439498</v>
      </c>
      <c r="H47" s="18">
        <f t="shared" si="21"/>
        <v>13.08476830980711</v>
      </c>
      <c r="I47" s="18">
        <f t="shared" si="22"/>
        <v>0.47328699953097686</v>
      </c>
      <c r="J47" s="18">
        <f t="shared" si="23"/>
        <v>0.48667308018787842</v>
      </c>
      <c r="K47" s="18">
        <f t="shared" si="24"/>
        <v>0</v>
      </c>
      <c r="L47" s="18">
        <f t="shared" si="25"/>
        <v>19.808306709265175</v>
      </c>
      <c r="M47" s="18">
        <f t="shared" si="26"/>
        <v>0.67453625632377734</v>
      </c>
      <c r="N47" s="18">
        <f t="shared" si="27"/>
        <v>0.64446831364124602</v>
      </c>
      <c r="O47" s="18">
        <f t="shared" si="28"/>
        <v>0</v>
      </c>
    </row>
    <row r="48" spans="1:16" ht="15" x14ac:dyDescent="0.25">
      <c r="A48" s="16" t="s">
        <v>0</v>
      </c>
      <c r="B48" s="22"/>
      <c r="C48" s="19">
        <f t="shared" si="17"/>
        <v>4.4352305093291093</v>
      </c>
      <c r="D48" s="18">
        <f t="shared" si="18"/>
        <v>0</v>
      </c>
      <c r="E48" s="18">
        <f t="shared" si="29"/>
        <v>0</v>
      </c>
      <c r="F48" s="18">
        <f t="shared" si="19"/>
        <v>3.1719179530556141E-2</v>
      </c>
      <c r="G48" s="18">
        <f t="shared" si="20"/>
        <v>9.7531847133757967</v>
      </c>
      <c r="H48" s="18">
        <f t="shared" si="21"/>
        <v>1.3635355849530708</v>
      </c>
      <c r="I48" s="18">
        <f t="shared" si="22"/>
        <v>0.13644309896388523</v>
      </c>
      <c r="J48" s="18">
        <f t="shared" si="23"/>
        <v>38.266085677098069</v>
      </c>
      <c r="K48" s="18">
        <f t="shared" si="24"/>
        <v>4.6789880017379104E-2</v>
      </c>
      <c r="L48" s="18">
        <f t="shared" si="25"/>
        <v>1.5974440894568689</v>
      </c>
      <c r="M48" s="18">
        <f t="shared" si="26"/>
        <v>0.16863406408094433</v>
      </c>
      <c r="N48" s="18">
        <f t="shared" si="27"/>
        <v>45.112781954887218</v>
      </c>
      <c r="O48" s="18">
        <f t="shared" si="28"/>
        <v>0</v>
      </c>
    </row>
    <row r="49" spans="1:15" ht="15" x14ac:dyDescent="0.25">
      <c r="A49" s="16" t="s">
        <v>54</v>
      </c>
      <c r="B49" s="22"/>
      <c r="C49" s="19">
        <f t="shared" si="17"/>
        <v>9.5307791000861606</v>
      </c>
      <c r="D49" s="18">
        <f t="shared" si="18"/>
        <v>0</v>
      </c>
      <c r="E49" s="18">
        <f t="shared" si="29"/>
        <v>0</v>
      </c>
      <c r="F49" s="18">
        <f t="shared" si="19"/>
        <v>0.55191372383167681</v>
      </c>
      <c r="G49" s="18">
        <f t="shared" si="20"/>
        <v>0.15455226676657924</v>
      </c>
      <c r="H49" s="18">
        <f t="shared" si="21"/>
        <v>27.274406917448822</v>
      </c>
      <c r="I49" s="18">
        <f t="shared" si="22"/>
        <v>68.068050995608246</v>
      </c>
      <c r="J49" s="18">
        <f t="shared" si="23"/>
        <v>8.8167053364269137</v>
      </c>
      <c r="K49" s="18">
        <f t="shared" si="24"/>
        <v>0.22726513151298419</v>
      </c>
      <c r="L49" s="18">
        <f t="shared" si="25"/>
        <v>4.3130990415335457</v>
      </c>
      <c r="M49" s="18">
        <f t="shared" si="26"/>
        <v>0</v>
      </c>
      <c r="N49" s="18">
        <f t="shared" si="27"/>
        <v>0.64446831364124602</v>
      </c>
      <c r="O49" s="18">
        <f t="shared" si="28"/>
        <v>0</v>
      </c>
    </row>
    <row r="50" spans="1:15" ht="15" x14ac:dyDescent="0.25">
      <c r="A50" s="16" t="s">
        <v>8</v>
      </c>
      <c r="B50" s="22"/>
      <c r="C50" s="19">
        <f t="shared" si="17"/>
        <v>5.3039908797092341</v>
      </c>
      <c r="D50" s="18">
        <f t="shared" si="18"/>
        <v>0</v>
      </c>
      <c r="E50" s="18">
        <f t="shared" si="29"/>
        <v>0</v>
      </c>
      <c r="F50" s="18">
        <f t="shared" si="19"/>
        <v>0.14802283780926201</v>
      </c>
      <c r="G50" s="18">
        <f t="shared" si="20"/>
        <v>4.6834020232296741E-2</v>
      </c>
      <c r="H50" s="18">
        <f t="shared" si="21"/>
        <v>3.2444017441430786</v>
      </c>
      <c r="I50" s="18">
        <f t="shared" si="22"/>
        <v>31.015221933228158</v>
      </c>
      <c r="J50" s="18">
        <f t="shared" si="23"/>
        <v>32.193990153358612</v>
      </c>
      <c r="K50" s="18">
        <f t="shared" si="24"/>
        <v>0.46789880017379093</v>
      </c>
      <c r="L50" s="18">
        <f t="shared" si="25"/>
        <v>1.5974440894568689</v>
      </c>
      <c r="M50" s="18">
        <f t="shared" si="26"/>
        <v>0</v>
      </c>
      <c r="N50" s="18">
        <f t="shared" si="27"/>
        <v>1.6111707841031151</v>
      </c>
      <c r="O50" s="18">
        <f t="shared" si="28"/>
        <v>5.4406964091403699E-2</v>
      </c>
    </row>
    <row r="51" spans="1:15" ht="15" x14ac:dyDescent="0.25">
      <c r="A51" s="16" t="s">
        <v>55</v>
      </c>
      <c r="B51" s="22"/>
      <c r="C51" s="19">
        <f t="shared" si="17"/>
        <v>9.5477103329432875</v>
      </c>
      <c r="D51" s="18">
        <f t="shared" si="18"/>
        <v>0</v>
      </c>
      <c r="E51" s="18">
        <f t="shared" si="29"/>
        <v>0</v>
      </c>
      <c r="F51" s="18">
        <f t="shared" si="19"/>
        <v>1.48022837809262E-2</v>
      </c>
      <c r="G51" s="18">
        <f t="shared" si="20"/>
        <v>1.639190708130386E-2</v>
      </c>
      <c r="H51" s="18">
        <f t="shared" si="21"/>
        <v>0.40647402261473653</v>
      </c>
      <c r="I51" s="18">
        <f t="shared" si="22"/>
        <v>0.17481772054747793</v>
      </c>
      <c r="J51" s="18">
        <f t="shared" si="23"/>
        <v>14.056929432403372</v>
      </c>
      <c r="K51" s="18">
        <f t="shared" si="24"/>
        <v>75.906553925336723</v>
      </c>
      <c r="L51" s="18">
        <f t="shared" si="25"/>
        <v>0</v>
      </c>
      <c r="M51" s="18">
        <f t="shared" si="26"/>
        <v>0.16863406408094433</v>
      </c>
      <c r="N51" s="18">
        <f t="shared" si="27"/>
        <v>1.288936627282492</v>
      </c>
      <c r="O51" s="18">
        <f t="shared" si="28"/>
        <v>0.1088139281828074</v>
      </c>
    </row>
    <row r="52" spans="1:15" ht="15" x14ac:dyDescent="0.25">
      <c r="A52" s="16" t="s">
        <v>9</v>
      </c>
      <c r="B52" s="22"/>
      <c r="C52" s="19">
        <f t="shared" si="17"/>
        <v>3.0780981334256401</v>
      </c>
      <c r="D52" s="18">
        <f t="shared" si="18"/>
        <v>0</v>
      </c>
      <c r="E52" s="18">
        <f t="shared" si="29"/>
        <v>0</v>
      </c>
      <c r="F52" s="18">
        <f t="shared" si="19"/>
        <v>8.4584478748149713E-3</v>
      </c>
      <c r="G52" s="18">
        <f t="shared" si="20"/>
        <v>1.4050206069689023E-2</v>
      </c>
      <c r="H52" s="18">
        <f t="shared" si="21"/>
        <v>0.37321705712807629</v>
      </c>
      <c r="I52" s="18">
        <f t="shared" si="22"/>
        <v>0.11512386475077815</v>
      </c>
      <c r="J52" s="18">
        <f t="shared" si="23"/>
        <v>5.8061230264274801</v>
      </c>
      <c r="K52" s="18">
        <f t="shared" si="24"/>
        <v>23.338123725811304</v>
      </c>
      <c r="L52" s="18">
        <f t="shared" si="25"/>
        <v>0</v>
      </c>
      <c r="M52" s="18">
        <f t="shared" si="26"/>
        <v>0</v>
      </c>
      <c r="N52" s="18">
        <f t="shared" si="27"/>
        <v>3.5445757250268528</v>
      </c>
      <c r="O52" s="18">
        <f t="shared" si="28"/>
        <v>5.4406964091403699E-2</v>
      </c>
    </row>
    <row r="53" spans="1:15" ht="15" x14ac:dyDescent="0.25">
      <c r="A53" s="16" t="s">
        <v>56</v>
      </c>
      <c r="B53" s="22"/>
      <c r="C53" s="19">
        <f t="shared" si="17"/>
        <v>0.22273977447597831</v>
      </c>
      <c r="D53" s="18">
        <f t="shared" si="18"/>
        <v>0</v>
      </c>
      <c r="E53" s="18">
        <f t="shared" si="29"/>
        <v>0</v>
      </c>
      <c r="F53" s="18">
        <f t="shared" si="19"/>
        <v>1.48022837809262E-2</v>
      </c>
      <c r="G53" s="18">
        <f t="shared" si="20"/>
        <v>2.341701011614837E-3</v>
      </c>
      <c r="H53" s="18">
        <f t="shared" si="21"/>
        <v>4.4342620648880351E-2</v>
      </c>
      <c r="I53" s="18">
        <f t="shared" si="22"/>
        <v>0</v>
      </c>
      <c r="J53" s="18">
        <f t="shared" si="23"/>
        <v>1.6976967913530643E-2</v>
      </c>
      <c r="K53" s="18">
        <f t="shared" si="24"/>
        <v>0</v>
      </c>
      <c r="L53" s="18">
        <f t="shared" si="25"/>
        <v>15.495207667731629</v>
      </c>
      <c r="M53" s="18">
        <f t="shared" si="26"/>
        <v>78.414839797639118</v>
      </c>
      <c r="N53" s="18">
        <f t="shared" si="27"/>
        <v>0.64446831364124602</v>
      </c>
      <c r="O53" s="18">
        <f t="shared" si="28"/>
        <v>5.4406964091403699E-2</v>
      </c>
    </row>
    <row r="54" spans="1:15" ht="15" x14ac:dyDescent="0.25">
      <c r="A54" s="16" t="s">
        <v>10</v>
      </c>
      <c r="B54" s="22"/>
      <c r="C54" s="19">
        <f t="shared" si="17"/>
        <v>0.12754862085702137</v>
      </c>
      <c r="D54" s="18">
        <f t="shared" si="18"/>
        <v>0</v>
      </c>
      <c r="E54" s="18">
        <f t="shared" si="29"/>
        <v>0</v>
      </c>
      <c r="F54" s="18">
        <f t="shared" si="19"/>
        <v>2.1146119687037428E-3</v>
      </c>
      <c r="G54" s="18">
        <f t="shared" si="20"/>
        <v>0</v>
      </c>
      <c r="H54" s="18">
        <f t="shared" si="21"/>
        <v>1.4780873549626782E-2</v>
      </c>
      <c r="I54" s="18">
        <f t="shared" si="22"/>
        <v>1.2791540527864239E-2</v>
      </c>
      <c r="J54" s="18">
        <f t="shared" si="23"/>
        <v>6.790787165412257E-2</v>
      </c>
      <c r="K54" s="18">
        <f t="shared" si="24"/>
        <v>0</v>
      </c>
      <c r="L54" s="18">
        <f t="shared" si="25"/>
        <v>0.47923322683706071</v>
      </c>
      <c r="M54" s="18">
        <f t="shared" si="26"/>
        <v>19.898819561551434</v>
      </c>
      <c r="N54" s="18">
        <f t="shared" si="27"/>
        <v>19.763694951664874</v>
      </c>
      <c r="O54" s="18">
        <f t="shared" si="28"/>
        <v>0.76169749727965186</v>
      </c>
    </row>
    <row r="55" spans="1:15" ht="15" x14ac:dyDescent="0.25">
      <c r="A55" s="16" t="s">
        <v>57</v>
      </c>
      <c r="B55" s="22"/>
      <c r="C55" s="19">
        <f t="shared" si="17"/>
        <v>0.46880702533288682</v>
      </c>
      <c r="D55" s="18">
        <f t="shared" si="18"/>
        <v>0</v>
      </c>
      <c r="E55" s="18">
        <f t="shared" si="29"/>
        <v>0</v>
      </c>
      <c r="F55" s="18">
        <f t="shared" si="19"/>
        <v>4.2292239374074857E-3</v>
      </c>
      <c r="G55" s="18">
        <f t="shared" si="20"/>
        <v>4.683402023229674E-3</v>
      </c>
      <c r="H55" s="18">
        <f t="shared" si="21"/>
        <v>7.3904367748133908E-3</v>
      </c>
      <c r="I55" s="18">
        <f t="shared" si="22"/>
        <v>0</v>
      </c>
      <c r="J55" s="18">
        <f t="shared" si="23"/>
        <v>0.15279271122177579</v>
      </c>
      <c r="K55" s="18">
        <f t="shared" si="24"/>
        <v>3.3421342869556503E-3</v>
      </c>
      <c r="L55" s="18">
        <f t="shared" si="25"/>
        <v>0.31948881789137379</v>
      </c>
      <c r="M55" s="18">
        <f t="shared" si="26"/>
        <v>0.67453625632377734</v>
      </c>
      <c r="N55" s="18">
        <f t="shared" si="27"/>
        <v>18.796992481203006</v>
      </c>
      <c r="O55" s="18">
        <f t="shared" si="28"/>
        <v>56.093579978237216</v>
      </c>
    </row>
    <row r="56" spans="1:15" ht="15" x14ac:dyDescent="0.25">
      <c r="A56" s="16" t="s">
        <v>11</v>
      </c>
      <c r="B56" s="22"/>
      <c r="C56" s="19">
        <f t="shared" si="17"/>
        <v>0.33711965866634558</v>
      </c>
      <c r="D56" s="18">
        <f t="shared" si="18"/>
        <v>0</v>
      </c>
      <c r="E56" s="18">
        <f t="shared" si="29"/>
        <v>0</v>
      </c>
      <c r="F56" s="18">
        <f t="shared" si="19"/>
        <v>0</v>
      </c>
      <c r="G56" s="18">
        <f t="shared" si="20"/>
        <v>0</v>
      </c>
      <c r="H56" s="18">
        <f t="shared" si="21"/>
        <v>1.8476091937033479E-2</v>
      </c>
      <c r="I56" s="18">
        <f t="shared" si="22"/>
        <v>4.2638468426214136E-3</v>
      </c>
      <c r="J56" s="18">
        <f t="shared" si="23"/>
        <v>0.13581574330824514</v>
      </c>
      <c r="K56" s="18">
        <f t="shared" si="24"/>
        <v>1.0026402860866949E-2</v>
      </c>
      <c r="L56" s="18">
        <f t="shared" si="25"/>
        <v>0.15974440894568689</v>
      </c>
      <c r="M56" s="18">
        <f t="shared" si="26"/>
        <v>0</v>
      </c>
      <c r="N56" s="18">
        <f t="shared" si="27"/>
        <v>7.9484425349087005</v>
      </c>
      <c r="O56" s="18">
        <f t="shared" si="28"/>
        <v>42.872687704026113</v>
      </c>
    </row>
    <row r="57" spans="1:15" ht="15.75" thickBot="1" x14ac:dyDescent="0.3">
      <c r="A57" s="25" t="s">
        <v>13</v>
      </c>
      <c r="B57" s="26"/>
      <c r="C57" s="27">
        <f>C18/C18*100</f>
        <v>100</v>
      </c>
      <c r="D57" s="27">
        <f t="shared" si="18"/>
        <v>100</v>
      </c>
      <c r="E57" s="27">
        <f t="shared" si="29"/>
        <v>100</v>
      </c>
      <c r="F57" s="27">
        <f t="shared" si="19"/>
        <v>100</v>
      </c>
      <c r="G57" s="27">
        <f t="shared" si="20"/>
        <v>100</v>
      </c>
      <c r="H57" s="27">
        <f t="shared" si="21"/>
        <v>100</v>
      </c>
      <c r="I57" s="27">
        <f t="shared" si="22"/>
        <v>100</v>
      </c>
      <c r="J57" s="27">
        <f t="shared" si="23"/>
        <v>100</v>
      </c>
      <c r="K57" s="27">
        <f t="shared" si="24"/>
        <v>100</v>
      </c>
      <c r="L57" s="27">
        <f t="shared" si="25"/>
        <v>100</v>
      </c>
      <c r="M57" s="27">
        <f t="shared" si="26"/>
        <v>100</v>
      </c>
      <c r="N57" s="27">
        <f t="shared" si="27"/>
        <v>100</v>
      </c>
      <c r="O57" s="27">
        <f t="shared" si="28"/>
        <v>100</v>
      </c>
    </row>
    <row r="58" spans="1:15" x14ac:dyDescent="0.2">
      <c r="A58" s="7" t="s">
        <v>47</v>
      </c>
      <c r="B58" s="7"/>
    </row>
    <row r="59" spans="1:15" x14ac:dyDescent="0.2">
      <c r="A59" s="7"/>
      <c r="B59" s="7"/>
    </row>
    <row r="60" spans="1:15" x14ac:dyDescent="0.2">
      <c r="A60" s="7"/>
      <c r="B60" s="7"/>
    </row>
    <row r="61" spans="1:15" x14ac:dyDescent="0.2">
      <c r="A61" s="7"/>
      <c r="B61" s="7"/>
    </row>
    <row r="62" spans="1:15" x14ac:dyDescent="0.2">
      <c r="A62" s="7"/>
      <c r="B62" s="7"/>
    </row>
    <row r="63" spans="1:15" x14ac:dyDescent="0.2">
      <c r="A63" s="7"/>
      <c r="B63" s="7"/>
    </row>
    <row r="64" spans="1:15" x14ac:dyDescent="0.2">
      <c r="A64" s="7"/>
      <c r="B64" s="7"/>
    </row>
    <row r="65" spans="1:2" x14ac:dyDescent="0.2">
      <c r="A65" s="7"/>
      <c r="B65" s="7"/>
    </row>
    <row r="66" spans="1:2" x14ac:dyDescent="0.2">
      <c r="A66" s="7"/>
      <c r="B66" s="7"/>
    </row>
    <row r="67" spans="1:2" x14ac:dyDescent="0.2">
      <c r="A67" s="7"/>
      <c r="B67" s="7"/>
    </row>
    <row r="68" spans="1:2" x14ac:dyDescent="0.2">
      <c r="A68" s="7"/>
      <c r="B68" s="7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headerFooter>
    <oddFooter>&amp;LDepartament d'Educació, Estadística d'itineraris educatius.&amp;R&amp;P/&amp;N</oddFooter>
  </headerFooter>
  <rowBreaks count="1" manualBreakCount="1">
    <brk id="40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63"/>
  <sheetViews>
    <sheetView showGridLines="0" topLeftCell="A28" zoomScaleNormal="100" workbookViewId="0">
      <selection activeCell="D4" sqref="D4"/>
    </sheetView>
  </sheetViews>
  <sheetFormatPr defaultColWidth="9.140625" defaultRowHeight="14.25" x14ac:dyDescent="0.2"/>
  <cols>
    <col min="1" max="1" width="11.42578125" style="2" customWidth="1"/>
    <col min="2" max="15" width="12.140625" style="2" customWidth="1"/>
    <col min="16" max="16" width="12.5703125" style="2" customWidth="1"/>
    <col min="17" max="16384" width="9.140625" style="2"/>
  </cols>
  <sheetData>
    <row r="1" spans="1:15" ht="33.75" customHeight="1" x14ac:dyDescent="0.2"/>
    <row r="2" spans="1:15" ht="31.5" customHeight="1" x14ac:dyDescent="0.25">
      <c r="A2" s="65" t="s">
        <v>44</v>
      </c>
      <c r="B2" s="64" t="s">
        <v>14</v>
      </c>
      <c r="C2" s="3"/>
      <c r="D2" s="3"/>
      <c r="E2" s="3"/>
    </row>
    <row r="3" spans="1:15" ht="16.5" customHeight="1" thickBot="1" x14ac:dyDescent="0.55000000000000004">
      <c r="A3" s="52"/>
      <c r="B3" s="10" t="s">
        <v>15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17"/>
      <c r="O3" s="6" t="s">
        <v>2</v>
      </c>
    </row>
    <row r="4" spans="1:15" ht="32.25" customHeight="1" x14ac:dyDescent="0.2">
      <c r="A4" s="74" t="s">
        <v>64</v>
      </c>
      <c r="B4" s="58"/>
      <c r="C4" s="55"/>
      <c r="D4" s="55"/>
      <c r="E4" s="55"/>
      <c r="F4" s="55"/>
      <c r="G4" s="55"/>
      <c r="H4" s="63" t="s">
        <v>16</v>
      </c>
      <c r="I4" s="55"/>
      <c r="J4" s="55"/>
      <c r="K4" s="55"/>
      <c r="L4" s="55"/>
      <c r="M4" s="55"/>
      <c r="N4" s="55"/>
      <c r="O4" s="55"/>
    </row>
    <row r="5" spans="1:15" ht="43.5" customHeight="1" x14ac:dyDescent="0.2">
      <c r="A5" s="72" t="s">
        <v>68</v>
      </c>
      <c r="B5" s="54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54</v>
      </c>
      <c r="I5" s="24" t="s">
        <v>8</v>
      </c>
      <c r="J5" s="24" t="s">
        <v>55</v>
      </c>
      <c r="K5" s="24" t="s">
        <v>9</v>
      </c>
      <c r="L5" s="24" t="s">
        <v>56</v>
      </c>
      <c r="M5" s="24" t="s">
        <v>10</v>
      </c>
      <c r="N5" s="24" t="s">
        <v>57</v>
      </c>
      <c r="O5" s="24" t="s">
        <v>11</v>
      </c>
    </row>
    <row r="6" spans="1:15" ht="14.25" customHeight="1" x14ac:dyDescent="0.2">
      <c r="A6" s="16" t="s">
        <v>51</v>
      </c>
      <c r="B6" s="12">
        <v>78428</v>
      </c>
      <c r="C6" s="13">
        <f t="shared" ref="C6:C18" si="0">SUM(D6:O6)</f>
        <v>73696</v>
      </c>
      <c r="D6" s="15">
        <v>3604</v>
      </c>
      <c r="E6" s="15">
        <v>69928</v>
      </c>
      <c r="F6" s="15"/>
      <c r="G6" s="15"/>
      <c r="H6" s="15">
        <v>162</v>
      </c>
      <c r="I6" s="15"/>
      <c r="J6" s="15"/>
      <c r="K6" s="15"/>
      <c r="L6" s="15">
        <v>2</v>
      </c>
      <c r="M6" s="14"/>
      <c r="N6" s="15"/>
      <c r="O6" s="15"/>
    </row>
    <row r="7" spans="1:15" x14ac:dyDescent="0.2">
      <c r="A7" s="16" t="s">
        <v>52</v>
      </c>
      <c r="B7" s="12">
        <v>71722</v>
      </c>
      <c r="C7" s="13">
        <f t="shared" si="0"/>
        <v>63087</v>
      </c>
      <c r="D7" s="15"/>
      <c r="E7" s="15">
        <v>3029</v>
      </c>
      <c r="F7" s="15">
        <v>43799</v>
      </c>
      <c r="G7" s="15"/>
      <c r="H7" s="15">
        <v>15880</v>
      </c>
      <c r="I7" s="15"/>
      <c r="J7" s="15"/>
      <c r="K7" s="15"/>
      <c r="L7" s="15">
        <v>379</v>
      </c>
      <c r="M7" s="14"/>
      <c r="N7" s="15"/>
      <c r="O7" s="15"/>
    </row>
    <row r="8" spans="1:15" x14ac:dyDescent="0.2">
      <c r="A8" s="16" t="s">
        <v>53</v>
      </c>
      <c r="B8" s="12">
        <v>48958</v>
      </c>
      <c r="C8" s="13">
        <f t="shared" si="0"/>
        <v>46081</v>
      </c>
      <c r="D8" s="15"/>
      <c r="E8" s="15">
        <v>3</v>
      </c>
      <c r="F8" s="15">
        <v>3427</v>
      </c>
      <c r="G8" s="15">
        <v>38616</v>
      </c>
      <c r="H8" s="15">
        <v>3764</v>
      </c>
      <c r="I8" s="15">
        <v>118</v>
      </c>
      <c r="J8" s="15">
        <v>52</v>
      </c>
      <c r="K8" s="15"/>
      <c r="L8" s="15">
        <v>93</v>
      </c>
      <c r="M8" s="14">
        <v>1</v>
      </c>
      <c r="N8" s="15">
        <v>7</v>
      </c>
      <c r="O8" s="15"/>
    </row>
    <row r="9" spans="1:15" x14ac:dyDescent="0.2">
      <c r="A9" s="16" t="s">
        <v>0</v>
      </c>
      <c r="B9" s="12">
        <v>43483</v>
      </c>
      <c r="C9" s="13">
        <f t="shared" si="0"/>
        <v>11806</v>
      </c>
      <c r="D9" s="15"/>
      <c r="E9" s="15"/>
      <c r="F9" s="15">
        <v>7</v>
      </c>
      <c r="G9" s="15">
        <v>4018</v>
      </c>
      <c r="H9" s="15">
        <v>377</v>
      </c>
      <c r="I9" s="15">
        <v>35</v>
      </c>
      <c r="J9" s="15">
        <v>6858</v>
      </c>
      <c r="K9" s="15">
        <v>27</v>
      </c>
      <c r="L9" s="15">
        <v>11</v>
      </c>
      <c r="M9" s="14">
        <v>1</v>
      </c>
      <c r="N9" s="15">
        <v>472</v>
      </c>
      <c r="O9" s="15"/>
    </row>
    <row r="10" spans="1:15" x14ac:dyDescent="0.2">
      <c r="A10" s="16" t="s">
        <v>54</v>
      </c>
      <c r="B10" s="12">
        <v>36070</v>
      </c>
      <c r="C10" s="13">
        <f t="shared" si="0"/>
        <v>26545</v>
      </c>
      <c r="D10" s="15"/>
      <c r="E10" s="15">
        <v>1</v>
      </c>
      <c r="F10" s="15">
        <v>227</v>
      </c>
      <c r="G10" s="15">
        <v>57</v>
      </c>
      <c r="H10" s="15">
        <v>7247</v>
      </c>
      <c r="I10" s="15">
        <v>16765</v>
      </c>
      <c r="J10" s="15">
        <v>2115</v>
      </c>
      <c r="K10" s="15">
        <v>92</v>
      </c>
      <c r="L10" s="15">
        <v>38</v>
      </c>
      <c r="M10" s="14">
        <v>1</v>
      </c>
      <c r="N10" s="15">
        <v>2</v>
      </c>
      <c r="O10" s="15"/>
    </row>
    <row r="11" spans="1:15" x14ac:dyDescent="0.2">
      <c r="A11" s="16" t="s">
        <v>8</v>
      </c>
      <c r="B11" s="12">
        <v>24153</v>
      </c>
      <c r="C11" s="13">
        <f t="shared" si="0"/>
        <v>14825</v>
      </c>
      <c r="D11" s="15"/>
      <c r="E11" s="15"/>
      <c r="F11" s="15">
        <v>55</v>
      </c>
      <c r="G11" s="15">
        <v>16</v>
      </c>
      <c r="H11" s="15">
        <v>788</v>
      </c>
      <c r="I11" s="15">
        <v>6932</v>
      </c>
      <c r="J11" s="15">
        <v>6854</v>
      </c>
      <c r="K11" s="15">
        <v>149</v>
      </c>
      <c r="L11" s="15">
        <v>7</v>
      </c>
      <c r="M11" s="14"/>
      <c r="N11" s="15">
        <v>23</v>
      </c>
      <c r="O11" s="15">
        <v>1</v>
      </c>
    </row>
    <row r="12" spans="1:15" x14ac:dyDescent="0.2">
      <c r="A12" s="16" t="s">
        <v>55</v>
      </c>
      <c r="B12" s="12">
        <v>30122</v>
      </c>
      <c r="C12" s="13">
        <f t="shared" si="0"/>
        <v>25295</v>
      </c>
      <c r="D12" s="15"/>
      <c r="E12" s="15"/>
      <c r="F12" s="15">
        <v>3</v>
      </c>
      <c r="G12" s="15">
        <v>6</v>
      </c>
      <c r="H12" s="15">
        <v>107</v>
      </c>
      <c r="I12" s="15">
        <v>46</v>
      </c>
      <c r="J12" s="15">
        <v>2629</v>
      </c>
      <c r="K12" s="15">
        <v>22486</v>
      </c>
      <c r="L12" s="15">
        <v>1</v>
      </c>
      <c r="M12" s="14"/>
      <c r="N12" s="15">
        <v>14</v>
      </c>
      <c r="O12" s="15">
        <v>3</v>
      </c>
    </row>
    <row r="13" spans="1:15" x14ac:dyDescent="0.2">
      <c r="A13" s="16" t="s">
        <v>9</v>
      </c>
      <c r="B13" s="12">
        <v>31075</v>
      </c>
      <c r="C13" s="13">
        <f t="shared" si="0"/>
        <v>8816</v>
      </c>
      <c r="D13" s="15"/>
      <c r="E13" s="15"/>
      <c r="F13" s="15">
        <v>5</v>
      </c>
      <c r="G13" s="15">
        <v>3</v>
      </c>
      <c r="H13" s="15">
        <v>119</v>
      </c>
      <c r="I13" s="15">
        <v>19</v>
      </c>
      <c r="J13" s="15">
        <v>1015</v>
      </c>
      <c r="K13" s="15">
        <v>7620</v>
      </c>
      <c r="L13" s="15"/>
      <c r="M13" s="14"/>
      <c r="N13" s="15">
        <v>31</v>
      </c>
      <c r="O13" s="15">
        <v>4</v>
      </c>
    </row>
    <row r="14" spans="1:15" x14ac:dyDescent="0.2">
      <c r="A14" s="16" t="s">
        <v>56</v>
      </c>
      <c r="B14" s="12">
        <v>779</v>
      </c>
      <c r="C14" s="13">
        <f t="shared" si="0"/>
        <v>622</v>
      </c>
      <c r="D14" s="15"/>
      <c r="E14" s="15"/>
      <c r="F14" s="15">
        <v>9</v>
      </c>
      <c r="G14" s="15">
        <v>1</v>
      </c>
      <c r="H14" s="15">
        <v>17</v>
      </c>
      <c r="I14" s="15"/>
      <c r="J14" s="15"/>
      <c r="K14" s="15"/>
      <c r="L14" s="15">
        <v>98</v>
      </c>
      <c r="M14" s="14">
        <v>492</v>
      </c>
      <c r="N14" s="15">
        <v>5</v>
      </c>
      <c r="O14" s="15"/>
    </row>
    <row r="15" spans="1:15" x14ac:dyDescent="0.2">
      <c r="A15" s="16" t="s">
        <v>10</v>
      </c>
      <c r="B15" s="12">
        <v>596</v>
      </c>
      <c r="C15" s="13">
        <f t="shared" si="0"/>
        <v>353</v>
      </c>
      <c r="D15" s="15"/>
      <c r="E15" s="15"/>
      <c r="F15" s="15"/>
      <c r="G15" s="15">
        <v>1</v>
      </c>
      <c r="H15" s="15">
        <v>9</v>
      </c>
      <c r="I15" s="15"/>
      <c r="J15" s="15">
        <v>9</v>
      </c>
      <c r="K15" s="15">
        <v>1</v>
      </c>
      <c r="L15" s="15">
        <v>3</v>
      </c>
      <c r="M15" s="14">
        <v>118</v>
      </c>
      <c r="N15" s="15">
        <v>206</v>
      </c>
      <c r="O15" s="15">
        <v>6</v>
      </c>
    </row>
    <row r="16" spans="1:15" x14ac:dyDescent="0.2">
      <c r="A16" s="16" t="s">
        <v>57</v>
      </c>
      <c r="B16" s="12">
        <v>1718</v>
      </c>
      <c r="C16" s="13">
        <f t="shared" si="0"/>
        <v>1381</v>
      </c>
      <c r="D16" s="15"/>
      <c r="E16" s="15"/>
      <c r="F16" s="15"/>
      <c r="G16" s="15"/>
      <c r="H16" s="15">
        <v>6</v>
      </c>
      <c r="I16" s="15"/>
      <c r="J16" s="15">
        <v>24</v>
      </c>
      <c r="K16" s="15">
        <v>2</v>
      </c>
      <c r="L16" s="15">
        <v>1</v>
      </c>
      <c r="M16" s="14">
        <v>3</v>
      </c>
      <c r="N16" s="15">
        <v>222</v>
      </c>
      <c r="O16" s="15">
        <v>1123</v>
      </c>
    </row>
    <row r="17" spans="1:15" x14ac:dyDescent="0.2">
      <c r="A17" s="16" t="s">
        <v>11</v>
      </c>
      <c r="B17" s="12">
        <v>1959</v>
      </c>
      <c r="C17" s="13">
        <f t="shared" si="0"/>
        <v>855</v>
      </c>
      <c r="D17" s="15"/>
      <c r="E17" s="15"/>
      <c r="F17" s="15"/>
      <c r="G17" s="15"/>
      <c r="H17" s="15">
        <v>3</v>
      </c>
      <c r="I17" s="15"/>
      <c r="J17" s="15">
        <v>32</v>
      </c>
      <c r="K17" s="15">
        <v>4</v>
      </c>
      <c r="L17" s="15">
        <v>1</v>
      </c>
      <c r="M17" s="14"/>
      <c r="N17" s="15">
        <v>78</v>
      </c>
      <c r="O17" s="15">
        <v>737</v>
      </c>
    </row>
    <row r="18" spans="1:15" ht="15" thickBot="1" x14ac:dyDescent="0.25">
      <c r="A18" s="25" t="s">
        <v>25</v>
      </c>
      <c r="B18" s="30">
        <f>SUM(B6:B17)</f>
        <v>369063</v>
      </c>
      <c r="C18" s="13">
        <f t="shared" si="0"/>
        <v>273362</v>
      </c>
      <c r="D18" s="31">
        <f>SUM(D6:D17)</f>
        <v>3604</v>
      </c>
      <c r="E18" s="31">
        <f t="shared" ref="E18:O18" si="1">SUM(E6:E17)</f>
        <v>72961</v>
      </c>
      <c r="F18" s="31">
        <f t="shared" si="1"/>
        <v>47532</v>
      </c>
      <c r="G18" s="31">
        <f t="shared" si="1"/>
        <v>42718</v>
      </c>
      <c r="H18" s="31">
        <f t="shared" si="1"/>
        <v>28479</v>
      </c>
      <c r="I18" s="31">
        <f t="shared" si="1"/>
        <v>23915</v>
      </c>
      <c r="J18" s="31">
        <f t="shared" si="1"/>
        <v>19588</v>
      </c>
      <c r="K18" s="31">
        <f t="shared" si="1"/>
        <v>30381</v>
      </c>
      <c r="L18" s="31">
        <f t="shared" si="1"/>
        <v>634</v>
      </c>
      <c r="M18" s="31">
        <f t="shared" si="1"/>
        <v>616</v>
      </c>
      <c r="N18" s="31">
        <f t="shared" si="1"/>
        <v>1060</v>
      </c>
      <c r="O18" s="31">
        <f t="shared" si="1"/>
        <v>1874</v>
      </c>
    </row>
    <row r="19" spans="1:15" x14ac:dyDescent="0.2">
      <c r="A19" s="7" t="s">
        <v>47</v>
      </c>
      <c r="B19" s="7"/>
    </row>
    <row r="20" spans="1:15" x14ac:dyDescent="0.2">
      <c r="A20" s="11"/>
    </row>
    <row r="21" spans="1:15" x14ac:dyDescent="0.2">
      <c r="A21" s="11"/>
    </row>
    <row r="22" spans="1:15" ht="25.5" customHeight="1" x14ac:dyDescent="0.25">
      <c r="A22" s="61" t="s">
        <v>45</v>
      </c>
      <c r="B22" s="60" t="s">
        <v>17</v>
      </c>
      <c r="C22" s="3"/>
      <c r="D22" s="3"/>
      <c r="E22" s="3"/>
    </row>
    <row r="23" spans="1:15" ht="16.5" customHeight="1" thickBot="1" x14ac:dyDescent="0.3">
      <c r="A23" s="67"/>
      <c r="B23" s="10" t="s">
        <v>15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17"/>
      <c r="O23" s="21" t="s">
        <v>3</v>
      </c>
    </row>
    <row r="24" spans="1:15" ht="34.5" customHeight="1" x14ac:dyDescent="0.2">
      <c r="A24" s="74" t="s">
        <v>64</v>
      </c>
      <c r="B24" s="73"/>
      <c r="C24" s="55"/>
      <c r="D24" s="55"/>
      <c r="E24" s="55"/>
      <c r="F24" s="55"/>
      <c r="G24" s="55"/>
      <c r="H24" s="63" t="s">
        <v>16</v>
      </c>
      <c r="I24" s="55"/>
      <c r="J24" s="55"/>
      <c r="K24" s="55"/>
      <c r="L24" s="55"/>
      <c r="M24" s="55"/>
      <c r="N24" s="55"/>
      <c r="O24" s="55"/>
    </row>
    <row r="25" spans="1:15" ht="43.5" customHeight="1" x14ac:dyDescent="0.2">
      <c r="A25" s="72" t="s">
        <v>68</v>
      </c>
      <c r="B25" s="70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54</v>
      </c>
      <c r="I25" s="24" t="s">
        <v>8</v>
      </c>
      <c r="J25" s="24" t="s">
        <v>55</v>
      </c>
      <c r="K25" s="24" t="s">
        <v>9</v>
      </c>
      <c r="L25" s="24" t="s">
        <v>56</v>
      </c>
      <c r="M25" s="24" t="s">
        <v>10</v>
      </c>
      <c r="N25" s="24" t="s">
        <v>57</v>
      </c>
      <c r="O25" s="24" t="s">
        <v>11</v>
      </c>
    </row>
    <row r="26" spans="1:15" ht="14.25" customHeight="1" x14ac:dyDescent="0.2">
      <c r="A26" s="16" t="s">
        <v>51</v>
      </c>
      <c r="B26" s="12">
        <f t="shared" ref="B26:B38" si="2">B6/B6*100</f>
        <v>100</v>
      </c>
      <c r="C26" s="19">
        <f t="shared" ref="C26:C38" si="3">SUM(D26:O26)</f>
        <v>93.966440556943951</v>
      </c>
      <c r="D26" s="18">
        <f t="shared" ref="D26:O26" si="4">D6/$B$6*100</f>
        <v>4.5952975977967059</v>
      </c>
      <c r="E26" s="18">
        <f t="shared" si="4"/>
        <v>89.162033967460602</v>
      </c>
      <c r="F26" s="18">
        <f t="shared" si="4"/>
        <v>0</v>
      </c>
      <c r="G26" s="18">
        <f t="shared" si="4"/>
        <v>0</v>
      </c>
      <c r="H26" s="18">
        <f t="shared" si="4"/>
        <v>0.20655888203192735</v>
      </c>
      <c r="I26" s="18">
        <f t="shared" si="4"/>
        <v>0</v>
      </c>
      <c r="J26" s="18">
        <f t="shared" si="4"/>
        <v>0</v>
      </c>
      <c r="K26" s="18">
        <f t="shared" si="4"/>
        <v>0</v>
      </c>
      <c r="L26" s="18">
        <f t="shared" si="4"/>
        <v>2.5501096547151528E-3</v>
      </c>
      <c r="M26" s="18">
        <f t="shared" si="4"/>
        <v>0</v>
      </c>
      <c r="N26" s="18">
        <f t="shared" si="4"/>
        <v>0</v>
      </c>
      <c r="O26" s="18">
        <f t="shared" si="4"/>
        <v>0</v>
      </c>
    </row>
    <row r="27" spans="1:15" x14ac:dyDescent="0.2">
      <c r="A27" s="16" t="s">
        <v>52</v>
      </c>
      <c r="B27" s="12">
        <f t="shared" si="2"/>
        <v>100</v>
      </c>
      <c r="C27" s="19">
        <f t="shared" si="3"/>
        <v>87.96045843674186</v>
      </c>
      <c r="D27" s="18">
        <f t="shared" ref="D27:O27" si="5">D7/$B$7*100</f>
        <v>0</v>
      </c>
      <c r="E27" s="18">
        <f t="shared" si="5"/>
        <v>4.2232508853629298</v>
      </c>
      <c r="F27" s="18">
        <f>F7/$B$7*100</f>
        <v>61.067733749756002</v>
      </c>
      <c r="G27" s="18">
        <f t="shared" si="5"/>
        <v>0</v>
      </c>
      <c r="H27" s="18">
        <f t="shared" si="5"/>
        <v>22.141044588829089</v>
      </c>
      <c r="I27" s="18">
        <f t="shared" si="5"/>
        <v>0</v>
      </c>
      <c r="J27" s="18">
        <f t="shared" si="5"/>
        <v>0</v>
      </c>
      <c r="K27" s="18">
        <f t="shared" si="5"/>
        <v>0</v>
      </c>
      <c r="L27" s="18">
        <f t="shared" si="5"/>
        <v>0.52842921279384292</v>
      </c>
      <c r="M27" s="18">
        <f t="shared" si="5"/>
        <v>0</v>
      </c>
      <c r="N27" s="18">
        <f t="shared" si="5"/>
        <v>0</v>
      </c>
      <c r="O27" s="18">
        <f t="shared" si="5"/>
        <v>0</v>
      </c>
    </row>
    <row r="28" spans="1:15" x14ac:dyDescent="0.2">
      <c r="A28" s="16" t="s">
        <v>53</v>
      </c>
      <c r="B28" s="12">
        <f t="shared" si="2"/>
        <v>100</v>
      </c>
      <c r="C28" s="19">
        <f t="shared" si="3"/>
        <v>94.12353445810696</v>
      </c>
      <c r="D28" s="18">
        <f t="shared" ref="D28:O28" si="6">D8/$B$8*100</f>
        <v>0</v>
      </c>
      <c r="E28" s="18">
        <f t="shared" si="6"/>
        <v>6.1277012949875398E-3</v>
      </c>
      <c r="F28" s="18">
        <f t="shared" si="6"/>
        <v>6.9998774459741009</v>
      </c>
      <c r="G28" s="18">
        <f t="shared" si="6"/>
        <v>78.875771069079619</v>
      </c>
      <c r="H28" s="18">
        <f t="shared" si="6"/>
        <v>7.6882225581110335</v>
      </c>
      <c r="I28" s="18">
        <f t="shared" si="6"/>
        <v>0.24102291760284325</v>
      </c>
      <c r="J28" s="18">
        <f t="shared" si="6"/>
        <v>0.10621348911311736</v>
      </c>
      <c r="K28" s="18">
        <f t="shared" si="6"/>
        <v>0</v>
      </c>
      <c r="L28" s="18">
        <f t="shared" si="6"/>
        <v>0.18995874014461375</v>
      </c>
      <c r="M28" s="18">
        <f t="shared" si="6"/>
        <v>2.0425670983291802E-3</v>
      </c>
      <c r="N28" s="18">
        <f t="shared" si="6"/>
        <v>1.4297969688304261E-2</v>
      </c>
      <c r="O28" s="18">
        <f t="shared" si="6"/>
        <v>0</v>
      </c>
    </row>
    <row r="29" spans="1:15" x14ac:dyDescent="0.2">
      <c r="A29" s="16" t="s">
        <v>0</v>
      </c>
      <c r="B29" s="12">
        <f t="shared" si="2"/>
        <v>100</v>
      </c>
      <c r="C29" s="19">
        <f t="shared" si="3"/>
        <v>27.150840558379137</v>
      </c>
      <c r="D29" s="18">
        <f t="shared" ref="D29:O29" si="7">D9/$B$9*100</f>
        <v>0</v>
      </c>
      <c r="E29" s="18">
        <f t="shared" si="7"/>
        <v>0</v>
      </c>
      <c r="F29" s="18">
        <f t="shared" si="7"/>
        <v>1.6098245291263254E-2</v>
      </c>
      <c r="G29" s="18">
        <f t="shared" si="7"/>
        <v>9.2403927971851072</v>
      </c>
      <c r="H29" s="18">
        <f t="shared" si="7"/>
        <v>0.86700549640089231</v>
      </c>
      <c r="I29" s="18">
        <f t="shared" si="7"/>
        <v>8.0491226456316262E-2</v>
      </c>
      <c r="J29" s="18">
        <f t="shared" si="7"/>
        <v>15.77168088678334</v>
      </c>
      <c r="K29" s="18">
        <f t="shared" si="7"/>
        <v>6.209323183772969E-2</v>
      </c>
      <c r="L29" s="18">
        <f t="shared" si="7"/>
        <v>2.5297242600556536E-2</v>
      </c>
      <c r="M29" s="18">
        <f t="shared" si="7"/>
        <v>2.2997493273233219E-3</v>
      </c>
      <c r="N29" s="18">
        <f t="shared" si="7"/>
        <v>1.0854816824966078</v>
      </c>
      <c r="O29" s="18">
        <f t="shared" si="7"/>
        <v>0</v>
      </c>
    </row>
    <row r="30" spans="1:15" x14ac:dyDescent="0.2">
      <c r="A30" s="16" t="s">
        <v>54</v>
      </c>
      <c r="B30" s="12">
        <f t="shared" si="2"/>
        <v>100</v>
      </c>
      <c r="C30" s="19">
        <f t="shared" si="3"/>
        <v>73.593013584696422</v>
      </c>
      <c r="D30" s="18">
        <f t="shared" ref="D30:O30" si="8">D10/$B$10*100</f>
        <v>0</v>
      </c>
      <c r="E30" s="18">
        <f t="shared" si="8"/>
        <v>2.7723870252287222E-3</v>
      </c>
      <c r="F30" s="18">
        <f t="shared" si="8"/>
        <v>0.62933185472691988</v>
      </c>
      <c r="G30" s="18">
        <f t="shared" si="8"/>
        <v>0.15802606043803716</v>
      </c>
      <c r="H30" s="18">
        <f t="shared" si="8"/>
        <v>20.091488771832548</v>
      </c>
      <c r="I30" s="18">
        <f t="shared" si="8"/>
        <v>46.479068477959522</v>
      </c>
      <c r="J30" s="18">
        <f t="shared" si="8"/>
        <v>5.8635985583587473</v>
      </c>
      <c r="K30" s="18">
        <f t="shared" si="8"/>
        <v>0.25505960632104241</v>
      </c>
      <c r="L30" s="18">
        <f t="shared" si="8"/>
        <v>0.10535070695869143</v>
      </c>
      <c r="M30" s="18">
        <f t="shared" si="8"/>
        <v>2.7723870252287222E-3</v>
      </c>
      <c r="N30" s="18">
        <f t="shared" si="8"/>
        <v>5.5447740504574444E-3</v>
      </c>
      <c r="O30" s="18">
        <f t="shared" si="8"/>
        <v>0</v>
      </c>
    </row>
    <row r="31" spans="1:15" x14ac:dyDescent="0.2">
      <c r="A31" s="16" t="s">
        <v>8</v>
      </c>
      <c r="B31" s="12">
        <f t="shared" si="2"/>
        <v>100</v>
      </c>
      <c r="C31" s="19">
        <f t="shared" si="3"/>
        <v>61.379538773651305</v>
      </c>
      <c r="D31" s="18">
        <f t="shared" ref="D31:O31" si="9">D11/$B$11*100</f>
        <v>0</v>
      </c>
      <c r="E31" s="18">
        <f t="shared" si="9"/>
        <v>0</v>
      </c>
      <c r="F31" s="18">
        <f t="shared" si="9"/>
        <v>0.22771498364592391</v>
      </c>
      <c r="G31" s="18">
        <f t="shared" si="9"/>
        <v>6.6244358878814219E-2</v>
      </c>
      <c r="H31" s="18">
        <f t="shared" si="9"/>
        <v>3.2625346747816004</v>
      </c>
      <c r="I31" s="18">
        <f t="shared" si="9"/>
        <v>28.700368484246262</v>
      </c>
      <c r="J31" s="18">
        <f t="shared" si="9"/>
        <v>28.377427234712044</v>
      </c>
      <c r="K31" s="18">
        <f t="shared" si="9"/>
        <v>0.61690059205895753</v>
      </c>
      <c r="L31" s="18">
        <f t="shared" si="9"/>
        <v>2.8981907009481226E-2</v>
      </c>
      <c r="M31" s="18">
        <f t="shared" si="9"/>
        <v>0</v>
      </c>
      <c r="N31" s="18">
        <f t="shared" si="9"/>
        <v>9.5226265888295455E-2</v>
      </c>
      <c r="O31" s="18">
        <f t="shared" si="9"/>
        <v>4.1402724299258887E-3</v>
      </c>
    </row>
    <row r="32" spans="1:15" x14ac:dyDescent="0.2">
      <c r="A32" s="16" t="s">
        <v>55</v>
      </c>
      <c r="B32" s="12">
        <f t="shared" si="2"/>
        <v>100</v>
      </c>
      <c r="C32" s="19">
        <f t="shared" si="3"/>
        <v>83.97516765155035</v>
      </c>
      <c r="D32" s="18">
        <f t="shared" ref="D32:O32" si="10">D12/$B$12*100</f>
        <v>0</v>
      </c>
      <c r="E32" s="18">
        <f t="shared" si="10"/>
        <v>0</v>
      </c>
      <c r="F32" s="18">
        <f t="shared" si="10"/>
        <v>9.9594980412987186E-3</v>
      </c>
      <c r="G32" s="18">
        <f t="shared" si="10"/>
        <v>1.9918996082597437E-2</v>
      </c>
      <c r="H32" s="18">
        <f t="shared" si="10"/>
        <v>0.35522209680632094</v>
      </c>
      <c r="I32" s="18">
        <f t="shared" si="10"/>
        <v>0.1527123032999137</v>
      </c>
      <c r="J32" s="18">
        <f t="shared" si="10"/>
        <v>8.7278401168581095</v>
      </c>
      <c r="K32" s="18">
        <f t="shared" si="10"/>
        <v>74.649757652214333</v>
      </c>
      <c r="L32" s="18">
        <f t="shared" si="10"/>
        <v>3.3198326804329066E-3</v>
      </c>
      <c r="M32" s="18">
        <f t="shared" si="10"/>
        <v>0</v>
      </c>
      <c r="N32" s="18">
        <f t="shared" si="10"/>
        <v>4.6477657526060687E-2</v>
      </c>
      <c r="O32" s="18">
        <f t="shared" si="10"/>
        <v>9.9594980412987186E-3</v>
      </c>
    </row>
    <row r="33" spans="1:16" x14ac:dyDescent="0.2">
      <c r="A33" s="16" t="s">
        <v>9</v>
      </c>
      <c r="B33" s="12">
        <f t="shared" si="2"/>
        <v>100</v>
      </c>
      <c r="C33" s="19">
        <f t="shared" si="3"/>
        <v>28.370072405470641</v>
      </c>
      <c r="D33" s="18">
        <f t="shared" ref="D33:O33" si="11">D13/$B$13*100</f>
        <v>0</v>
      </c>
      <c r="E33" s="18">
        <f t="shared" si="11"/>
        <v>0</v>
      </c>
      <c r="F33" s="18">
        <f t="shared" si="11"/>
        <v>1.6090104585679808E-2</v>
      </c>
      <c r="G33" s="18">
        <f t="shared" si="11"/>
        <v>9.6540627514078853E-3</v>
      </c>
      <c r="H33" s="18">
        <f t="shared" si="11"/>
        <v>0.38294448913917939</v>
      </c>
      <c r="I33" s="18">
        <f t="shared" si="11"/>
        <v>6.1142397425583264E-2</v>
      </c>
      <c r="J33" s="18">
        <f t="shared" si="11"/>
        <v>3.266291230893001</v>
      </c>
      <c r="K33" s="18">
        <f t="shared" si="11"/>
        <v>24.521319388576028</v>
      </c>
      <c r="L33" s="18">
        <f t="shared" si="11"/>
        <v>0</v>
      </c>
      <c r="M33" s="18">
        <f t="shared" si="11"/>
        <v>0</v>
      </c>
      <c r="N33" s="18">
        <f t="shared" si="11"/>
        <v>9.9758648431214805E-2</v>
      </c>
      <c r="O33" s="18">
        <f t="shared" si="11"/>
        <v>1.2872083668543846E-2</v>
      </c>
    </row>
    <row r="34" spans="1:16" x14ac:dyDescent="0.2">
      <c r="A34" s="16" t="s">
        <v>56</v>
      </c>
      <c r="B34" s="12">
        <f t="shared" si="2"/>
        <v>100</v>
      </c>
      <c r="C34" s="19">
        <f t="shared" si="3"/>
        <v>79.845956354300384</v>
      </c>
      <c r="D34" s="18">
        <f t="shared" ref="D34:O34" si="12">D14/$B$14*100</f>
        <v>0</v>
      </c>
      <c r="E34" s="18">
        <f t="shared" si="12"/>
        <v>0</v>
      </c>
      <c r="F34" s="18">
        <f t="shared" si="12"/>
        <v>1.1553273427471118</v>
      </c>
      <c r="G34" s="18">
        <f t="shared" si="12"/>
        <v>0.12836970474967907</v>
      </c>
      <c r="H34" s="18">
        <f t="shared" si="12"/>
        <v>2.1822849807445444</v>
      </c>
      <c r="I34" s="18">
        <f t="shared" si="12"/>
        <v>0</v>
      </c>
      <c r="J34" s="18">
        <f t="shared" si="12"/>
        <v>0</v>
      </c>
      <c r="K34" s="18">
        <f t="shared" si="12"/>
        <v>0</v>
      </c>
      <c r="L34" s="18">
        <f t="shared" si="12"/>
        <v>12.580231065468549</v>
      </c>
      <c r="M34" s="18">
        <f t="shared" si="12"/>
        <v>63.157894736842103</v>
      </c>
      <c r="N34" s="18">
        <f t="shared" si="12"/>
        <v>0.64184852374839541</v>
      </c>
      <c r="O34" s="18">
        <f t="shared" si="12"/>
        <v>0</v>
      </c>
    </row>
    <row r="35" spans="1:16" x14ac:dyDescent="0.2">
      <c r="A35" s="16" t="s">
        <v>10</v>
      </c>
      <c r="B35" s="12">
        <f t="shared" si="2"/>
        <v>100</v>
      </c>
      <c r="C35" s="19">
        <f t="shared" si="3"/>
        <v>59.228187919463082</v>
      </c>
      <c r="D35" s="18">
        <f t="shared" ref="D35:O35" si="13">D15/$B$15*100</f>
        <v>0</v>
      </c>
      <c r="E35" s="18">
        <f t="shared" si="13"/>
        <v>0</v>
      </c>
      <c r="F35" s="18">
        <f t="shared" si="13"/>
        <v>0</v>
      </c>
      <c r="G35" s="18">
        <f t="shared" si="13"/>
        <v>0.16778523489932887</v>
      </c>
      <c r="H35" s="18">
        <f t="shared" si="13"/>
        <v>1.5100671140939599</v>
      </c>
      <c r="I35" s="18">
        <f t="shared" si="13"/>
        <v>0</v>
      </c>
      <c r="J35" s="18">
        <f t="shared" si="13"/>
        <v>1.5100671140939599</v>
      </c>
      <c r="K35" s="18">
        <f t="shared" si="13"/>
        <v>0.16778523489932887</v>
      </c>
      <c r="L35" s="18">
        <f t="shared" si="13"/>
        <v>0.50335570469798652</v>
      </c>
      <c r="M35" s="18">
        <f t="shared" si="13"/>
        <v>19.798657718120804</v>
      </c>
      <c r="N35" s="18">
        <f t="shared" si="13"/>
        <v>34.563758389261743</v>
      </c>
      <c r="O35" s="18">
        <f t="shared" si="13"/>
        <v>1.006711409395973</v>
      </c>
    </row>
    <row r="36" spans="1:16" x14ac:dyDescent="0.2">
      <c r="A36" s="16" t="s">
        <v>57</v>
      </c>
      <c r="B36" s="12">
        <f t="shared" si="2"/>
        <v>100</v>
      </c>
      <c r="C36" s="19">
        <f t="shared" si="3"/>
        <v>80.384167636786955</v>
      </c>
      <c r="D36" s="18">
        <f t="shared" ref="D36:O36" si="14">D16/$B$16*100</f>
        <v>0</v>
      </c>
      <c r="E36" s="18">
        <f t="shared" si="14"/>
        <v>0</v>
      </c>
      <c r="F36" s="18">
        <f t="shared" si="14"/>
        <v>0</v>
      </c>
      <c r="G36" s="18">
        <f t="shared" si="14"/>
        <v>0</v>
      </c>
      <c r="H36" s="18">
        <f t="shared" si="14"/>
        <v>0.34924330616996507</v>
      </c>
      <c r="I36" s="18">
        <f t="shared" si="14"/>
        <v>0</v>
      </c>
      <c r="J36" s="18">
        <f t="shared" si="14"/>
        <v>1.3969732246798603</v>
      </c>
      <c r="K36" s="18">
        <f t="shared" si="14"/>
        <v>0.11641443538998836</v>
      </c>
      <c r="L36" s="18">
        <f t="shared" si="14"/>
        <v>5.8207217694994179E-2</v>
      </c>
      <c r="M36" s="18">
        <f t="shared" si="14"/>
        <v>0.17462165308498254</v>
      </c>
      <c r="N36" s="18">
        <f t="shared" si="14"/>
        <v>12.922002328288706</v>
      </c>
      <c r="O36" s="18">
        <f t="shared" si="14"/>
        <v>65.366705471478454</v>
      </c>
    </row>
    <row r="37" spans="1:16" x14ac:dyDescent="0.2">
      <c r="A37" s="16" t="s">
        <v>11</v>
      </c>
      <c r="B37" s="12">
        <f t="shared" si="2"/>
        <v>100</v>
      </c>
      <c r="C37" s="19">
        <f t="shared" si="3"/>
        <v>43.644716692189888</v>
      </c>
      <c r="D37" s="18">
        <f t="shared" ref="D37:O37" si="15">D17/$B$17*100</f>
        <v>0</v>
      </c>
      <c r="E37" s="18">
        <f t="shared" si="15"/>
        <v>0</v>
      </c>
      <c r="F37" s="18">
        <f t="shared" si="15"/>
        <v>0</v>
      </c>
      <c r="G37" s="18">
        <f t="shared" si="15"/>
        <v>0</v>
      </c>
      <c r="H37" s="18">
        <f t="shared" si="15"/>
        <v>0.15313935681470139</v>
      </c>
      <c r="I37" s="18">
        <f t="shared" si="15"/>
        <v>0</v>
      </c>
      <c r="J37" s="18">
        <f t="shared" si="15"/>
        <v>1.6334864726901481</v>
      </c>
      <c r="K37" s="18">
        <f t="shared" si="15"/>
        <v>0.20418580908626852</v>
      </c>
      <c r="L37" s="18">
        <f t="shared" si="15"/>
        <v>5.1046452271567129E-2</v>
      </c>
      <c r="M37" s="18">
        <f t="shared" si="15"/>
        <v>0</v>
      </c>
      <c r="N37" s="18">
        <f t="shared" si="15"/>
        <v>3.9816232771822357</v>
      </c>
      <c r="O37" s="18">
        <f t="shared" si="15"/>
        <v>37.621235324144969</v>
      </c>
    </row>
    <row r="38" spans="1:16" ht="15" thickBot="1" x14ac:dyDescent="0.25">
      <c r="A38" s="25" t="s">
        <v>13</v>
      </c>
      <c r="B38" s="28">
        <f t="shared" si="2"/>
        <v>100</v>
      </c>
      <c r="C38" s="29">
        <f t="shared" si="3"/>
        <v>74.069196857989027</v>
      </c>
      <c r="D38" s="29">
        <f t="shared" ref="D38:O38" si="16">D18/$B$18*100</f>
        <v>0.97652704280840941</v>
      </c>
      <c r="E38" s="29">
        <f t="shared" si="16"/>
        <v>19.769253487886893</v>
      </c>
      <c r="F38" s="29">
        <f t="shared" si="16"/>
        <v>12.879101941944871</v>
      </c>
      <c r="G38" s="29">
        <f t="shared" si="16"/>
        <v>11.574717595640854</v>
      </c>
      <c r="H38" s="29">
        <f t="shared" si="16"/>
        <v>7.7165687159102925</v>
      </c>
      <c r="I38" s="29">
        <f t="shared" si="16"/>
        <v>6.4799234818987541</v>
      </c>
      <c r="J38" s="29">
        <f t="shared" si="16"/>
        <v>5.3074949263404889</v>
      </c>
      <c r="K38" s="29">
        <f t="shared" si="16"/>
        <v>8.2319278822314885</v>
      </c>
      <c r="L38" s="29">
        <f t="shared" si="16"/>
        <v>0.1717863887737324</v>
      </c>
      <c r="M38" s="29">
        <f t="shared" si="16"/>
        <v>0.16690917268867375</v>
      </c>
      <c r="N38" s="29">
        <f t="shared" si="16"/>
        <v>0.28721383612012041</v>
      </c>
      <c r="O38" s="29">
        <f t="shared" si="16"/>
        <v>0.50777238574443928</v>
      </c>
    </row>
    <row r="39" spans="1:16" x14ac:dyDescent="0.2">
      <c r="A39" s="7" t="s">
        <v>47</v>
      </c>
      <c r="B39" s="7"/>
      <c r="P39" s="20"/>
    </row>
    <row r="40" spans="1:16" x14ac:dyDescent="0.2">
      <c r="A40" s="7"/>
      <c r="B40" s="7"/>
    </row>
    <row r="41" spans="1:16" ht="27.75" customHeight="1" x14ac:dyDescent="0.25">
      <c r="A41" s="65" t="s">
        <v>46</v>
      </c>
      <c r="B41" s="64" t="s">
        <v>18</v>
      </c>
      <c r="C41" s="3"/>
      <c r="D41" s="3"/>
      <c r="E41" s="3"/>
    </row>
    <row r="42" spans="1:16" ht="16.5" customHeight="1" thickBot="1" x14ac:dyDescent="0.55000000000000004">
      <c r="A42" s="56"/>
      <c r="B42" s="10" t="s">
        <v>15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17"/>
      <c r="O42" s="21" t="s">
        <v>3</v>
      </c>
    </row>
    <row r="43" spans="1:16" ht="34.5" customHeight="1" x14ac:dyDescent="0.2">
      <c r="A43" s="74" t="s">
        <v>66</v>
      </c>
      <c r="B43" s="58"/>
      <c r="C43" s="55"/>
      <c r="D43" s="55"/>
      <c r="E43" s="55"/>
      <c r="F43" s="55"/>
      <c r="G43" s="55"/>
      <c r="H43" s="63" t="s">
        <v>16</v>
      </c>
      <c r="I43" s="55"/>
      <c r="J43" s="55"/>
      <c r="K43" s="55"/>
      <c r="L43" s="55"/>
      <c r="M43" s="55"/>
      <c r="N43" s="55"/>
      <c r="O43" s="55"/>
    </row>
    <row r="44" spans="1:16" ht="43.5" customHeight="1" x14ac:dyDescent="0.2">
      <c r="A44" s="72" t="s">
        <v>67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54</v>
      </c>
      <c r="I44" s="24" t="s">
        <v>8</v>
      </c>
      <c r="J44" s="24" t="s">
        <v>55</v>
      </c>
      <c r="K44" s="24" t="s">
        <v>9</v>
      </c>
      <c r="L44" s="24" t="s">
        <v>56</v>
      </c>
      <c r="M44" s="24" t="s">
        <v>10</v>
      </c>
      <c r="N44" s="24" t="s">
        <v>57</v>
      </c>
      <c r="O44" s="24" t="s">
        <v>11</v>
      </c>
    </row>
    <row r="45" spans="1:16" ht="14.25" customHeight="1" x14ac:dyDescent="0.25">
      <c r="A45" s="16" t="s">
        <v>51</v>
      </c>
      <c r="B45" s="22"/>
      <c r="C45" s="19">
        <f t="shared" ref="C45:C56" si="17">C6/$C$18*100</f>
        <v>26.959123799211305</v>
      </c>
      <c r="D45" s="18">
        <f t="shared" ref="D45:D57" si="18">D6/$D$18*100</f>
        <v>100</v>
      </c>
      <c r="E45" s="18">
        <f t="shared" ref="E45:E57" si="19">E6/$E$18*100</f>
        <v>95.842984608215346</v>
      </c>
      <c r="F45" s="18">
        <f t="shared" ref="F45:F57" si="20">F6/$F$18*100</f>
        <v>0</v>
      </c>
      <c r="G45" s="18">
        <f t="shared" ref="G45:G57" si="21">G6/$G$18*100</f>
        <v>0</v>
      </c>
      <c r="H45" s="18">
        <f t="shared" ref="H45:H57" si="22">H6/$H$18*100</f>
        <v>0.56884019804066155</v>
      </c>
      <c r="I45" s="18">
        <f t="shared" ref="I45:I57" si="23">I6/$I$18*100</f>
        <v>0</v>
      </c>
      <c r="J45" s="18">
        <f t="shared" ref="J45:J57" si="24">J6/$J$18*100</f>
        <v>0</v>
      </c>
      <c r="K45" s="18">
        <f t="shared" ref="K45:K57" si="25">K6/$K$18*100</f>
        <v>0</v>
      </c>
      <c r="L45" s="18">
        <f t="shared" ref="L45:L57" si="26">L6/$L$18*100</f>
        <v>0.31545741324921134</v>
      </c>
      <c r="M45" s="18">
        <f t="shared" ref="M45:M57" si="27">M6/$M$18*100</f>
        <v>0</v>
      </c>
      <c r="N45" s="18">
        <f t="shared" ref="N45:N57" si="28">N6/$N$18*100</f>
        <v>0</v>
      </c>
      <c r="O45" s="18">
        <f t="shared" ref="O45:O57" si="29">O6/$O$18*100</f>
        <v>0</v>
      </c>
    </row>
    <row r="46" spans="1:16" ht="15" x14ac:dyDescent="0.25">
      <c r="A46" s="16" t="s">
        <v>52</v>
      </c>
      <c r="B46" s="22"/>
      <c r="C46" s="19">
        <f t="shared" si="17"/>
        <v>23.078189360628031</v>
      </c>
      <c r="D46" s="18">
        <f t="shared" si="18"/>
        <v>0</v>
      </c>
      <c r="E46" s="18">
        <f t="shared" si="19"/>
        <v>4.1515330107865847</v>
      </c>
      <c r="F46" s="18">
        <f t="shared" si="20"/>
        <v>92.146343515947152</v>
      </c>
      <c r="G46" s="18">
        <f t="shared" si="21"/>
        <v>0</v>
      </c>
      <c r="H46" s="18">
        <f t="shared" si="22"/>
        <v>55.760384844973487</v>
      </c>
      <c r="I46" s="18">
        <f t="shared" si="23"/>
        <v>0</v>
      </c>
      <c r="J46" s="18">
        <f t="shared" si="24"/>
        <v>0</v>
      </c>
      <c r="K46" s="18">
        <f t="shared" si="25"/>
        <v>0</v>
      </c>
      <c r="L46" s="18">
        <f t="shared" si="26"/>
        <v>59.779179810725545</v>
      </c>
      <c r="M46" s="18">
        <f t="shared" si="27"/>
        <v>0</v>
      </c>
      <c r="N46" s="18">
        <f t="shared" si="28"/>
        <v>0</v>
      </c>
      <c r="O46" s="18">
        <f t="shared" si="29"/>
        <v>0</v>
      </c>
    </row>
    <row r="47" spans="1:16" ht="15" x14ac:dyDescent="0.25">
      <c r="A47" s="16" t="s">
        <v>53</v>
      </c>
      <c r="B47" s="22"/>
      <c r="C47" s="19">
        <f t="shared" si="17"/>
        <v>16.857134495650456</v>
      </c>
      <c r="D47" s="18">
        <f t="shared" si="18"/>
        <v>0</v>
      </c>
      <c r="E47" s="18">
        <f t="shared" si="19"/>
        <v>4.1117857485505954E-3</v>
      </c>
      <c r="F47" s="18">
        <f t="shared" si="20"/>
        <v>7.2098796600185144</v>
      </c>
      <c r="G47" s="18">
        <f t="shared" si="21"/>
        <v>90.397490519219062</v>
      </c>
      <c r="H47" s="18">
        <f t="shared" si="22"/>
        <v>13.216756206327471</v>
      </c>
      <c r="I47" s="18">
        <f t="shared" si="23"/>
        <v>0.49341417520384689</v>
      </c>
      <c r="J47" s="18">
        <f t="shared" si="24"/>
        <v>0.26546865427812943</v>
      </c>
      <c r="K47" s="18">
        <f t="shared" si="25"/>
        <v>0</v>
      </c>
      <c r="L47" s="18">
        <f t="shared" si="26"/>
        <v>14.668769716088329</v>
      </c>
      <c r="M47" s="18">
        <f t="shared" si="27"/>
        <v>0.16233766233766234</v>
      </c>
      <c r="N47" s="18">
        <f t="shared" si="28"/>
        <v>0.66037735849056611</v>
      </c>
      <c r="O47" s="18">
        <f t="shared" si="29"/>
        <v>0</v>
      </c>
    </row>
    <row r="48" spans="1:16" ht="15" x14ac:dyDescent="0.25">
      <c r="A48" s="16" t="s">
        <v>0</v>
      </c>
      <c r="B48" s="22"/>
      <c r="C48" s="19">
        <f t="shared" si="17"/>
        <v>4.3188153437566301</v>
      </c>
      <c r="D48" s="18">
        <f t="shared" si="18"/>
        <v>0</v>
      </c>
      <c r="E48" s="18">
        <f t="shared" si="19"/>
        <v>0</v>
      </c>
      <c r="F48" s="18">
        <f t="shared" si="20"/>
        <v>1.4726920811242952E-2</v>
      </c>
      <c r="G48" s="18">
        <f t="shared" si="21"/>
        <v>9.405871061379278</v>
      </c>
      <c r="H48" s="18">
        <f t="shared" si="22"/>
        <v>1.3237824361810457</v>
      </c>
      <c r="I48" s="18">
        <f t="shared" si="23"/>
        <v>0.14635166213673428</v>
      </c>
      <c r="J48" s="18">
        <f t="shared" si="24"/>
        <v>35.011231366142539</v>
      </c>
      <c r="K48" s="18">
        <f t="shared" si="25"/>
        <v>8.8871334057470136E-2</v>
      </c>
      <c r="L48" s="18">
        <f t="shared" si="26"/>
        <v>1.7350157728706623</v>
      </c>
      <c r="M48" s="18">
        <f t="shared" si="27"/>
        <v>0.16233766233766234</v>
      </c>
      <c r="N48" s="18">
        <f t="shared" si="28"/>
        <v>44.528301886792455</v>
      </c>
      <c r="O48" s="18">
        <f t="shared" si="29"/>
        <v>0</v>
      </c>
    </row>
    <row r="49" spans="1:15" ht="15" x14ac:dyDescent="0.25">
      <c r="A49" s="16" t="s">
        <v>54</v>
      </c>
      <c r="B49" s="22"/>
      <c r="C49" s="19">
        <f t="shared" si="17"/>
        <v>9.7105669405403834</v>
      </c>
      <c r="D49" s="18">
        <f t="shared" si="18"/>
        <v>0</v>
      </c>
      <c r="E49" s="18">
        <f t="shared" si="19"/>
        <v>1.3705952495168651E-3</v>
      </c>
      <c r="F49" s="18">
        <f t="shared" si="20"/>
        <v>0.47757300345030718</v>
      </c>
      <c r="G49" s="18">
        <f t="shared" si="21"/>
        <v>0.13343321316541035</v>
      </c>
      <c r="H49" s="18">
        <f t="shared" si="22"/>
        <v>25.446820464201693</v>
      </c>
      <c r="I49" s="18">
        <f t="shared" si="23"/>
        <v>70.102446163495713</v>
      </c>
      <c r="J49" s="18">
        <f t="shared" si="24"/>
        <v>10.797426996120073</v>
      </c>
      <c r="K49" s="18">
        <f t="shared" si="25"/>
        <v>0.30282084197360193</v>
      </c>
      <c r="L49" s="18">
        <f t="shared" si="26"/>
        <v>5.9936908517350158</v>
      </c>
      <c r="M49" s="18">
        <f t="shared" si="27"/>
        <v>0.16233766233766234</v>
      </c>
      <c r="N49" s="18">
        <f t="shared" si="28"/>
        <v>0.18867924528301888</v>
      </c>
      <c r="O49" s="18">
        <f t="shared" si="29"/>
        <v>0</v>
      </c>
    </row>
    <row r="50" spans="1:15" ht="15" x14ac:dyDescent="0.25">
      <c r="A50" s="16" t="s">
        <v>8</v>
      </c>
      <c r="B50" s="22"/>
      <c r="C50" s="19">
        <f t="shared" si="17"/>
        <v>5.4232117119424057</v>
      </c>
      <c r="D50" s="18">
        <f t="shared" si="18"/>
        <v>0</v>
      </c>
      <c r="E50" s="18">
        <f t="shared" si="19"/>
        <v>0</v>
      </c>
      <c r="F50" s="18">
        <f t="shared" si="20"/>
        <v>0.11571152065976605</v>
      </c>
      <c r="G50" s="18">
        <f t="shared" si="21"/>
        <v>3.7454937028887116E-2</v>
      </c>
      <c r="H50" s="18">
        <f t="shared" si="22"/>
        <v>2.7669510867656872</v>
      </c>
      <c r="I50" s="18">
        <f t="shared" si="23"/>
        <v>28.985992055195485</v>
      </c>
      <c r="J50" s="18">
        <f t="shared" si="24"/>
        <v>34.990810700428831</v>
      </c>
      <c r="K50" s="18">
        <f t="shared" si="25"/>
        <v>0.49043810276159444</v>
      </c>
      <c r="L50" s="18">
        <f t="shared" si="26"/>
        <v>1.1041009463722398</v>
      </c>
      <c r="M50" s="18">
        <f t="shared" si="27"/>
        <v>0</v>
      </c>
      <c r="N50" s="18">
        <f t="shared" si="28"/>
        <v>2.1698113207547167</v>
      </c>
      <c r="O50" s="18">
        <f t="shared" si="29"/>
        <v>5.3361792956243333E-2</v>
      </c>
    </row>
    <row r="51" spans="1:15" ht="15" x14ac:dyDescent="0.25">
      <c r="A51" s="16" t="s">
        <v>55</v>
      </c>
      <c r="B51" s="22"/>
      <c r="C51" s="19">
        <f t="shared" si="17"/>
        <v>9.2532978248622708</v>
      </c>
      <c r="D51" s="18">
        <f t="shared" si="18"/>
        <v>0</v>
      </c>
      <c r="E51" s="18">
        <f t="shared" si="19"/>
        <v>0</v>
      </c>
      <c r="F51" s="18">
        <f t="shared" si="20"/>
        <v>6.3115374905326942E-3</v>
      </c>
      <c r="G51" s="18">
        <f t="shared" si="21"/>
        <v>1.4045601385832669E-2</v>
      </c>
      <c r="H51" s="18">
        <f t="shared" si="22"/>
        <v>0.37571543944660979</v>
      </c>
      <c r="I51" s="18">
        <f t="shared" si="23"/>
        <v>0.19234789880827932</v>
      </c>
      <c r="J51" s="18">
        <f t="shared" si="24"/>
        <v>13.421482540330814</v>
      </c>
      <c r="K51" s="18">
        <f t="shared" si="25"/>
        <v>74.013363615417532</v>
      </c>
      <c r="L51" s="18">
        <f t="shared" si="26"/>
        <v>0.15772870662460567</v>
      </c>
      <c r="M51" s="18">
        <f t="shared" si="27"/>
        <v>0</v>
      </c>
      <c r="N51" s="18">
        <f t="shared" si="28"/>
        <v>1.3207547169811322</v>
      </c>
      <c r="O51" s="18">
        <f t="shared" si="29"/>
        <v>0.16008537886872998</v>
      </c>
    </row>
    <row r="52" spans="1:15" ht="15" x14ac:dyDescent="0.25">
      <c r="A52" s="16" t="s">
        <v>9</v>
      </c>
      <c r="B52" s="22"/>
      <c r="C52" s="19">
        <f t="shared" si="17"/>
        <v>3.225027619054587</v>
      </c>
      <c r="D52" s="18">
        <f t="shared" si="18"/>
        <v>0</v>
      </c>
      <c r="E52" s="18">
        <f t="shared" si="19"/>
        <v>0</v>
      </c>
      <c r="F52" s="18">
        <f t="shared" si="20"/>
        <v>1.0519229150887823E-2</v>
      </c>
      <c r="G52" s="18">
        <f t="shared" si="21"/>
        <v>7.0228006929163346E-3</v>
      </c>
      <c r="H52" s="18">
        <f t="shared" si="22"/>
        <v>0.41785175041258477</v>
      </c>
      <c r="I52" s="18">
        <f t="shared" si="23"/>
        <v>7.9448045159941458E-2</v>
      </c>
      <c r="J52" s="18">
        <f t="shared" si="24"/>
        <v>5.1817439248519506</v>
      </c>
      <c r="K52" s="18">
        <f t="shared" si="25"/>
        <v>25.081465389552683</v>
      </c>
      <c r="L52" s="18">
        <f t="shared" si="26"/>
        <v>0</v>
      </c>
      <c r="M52" s="18">
        <f t="shared" si="27"/>
        <v>0</v>
      </c>
      <c r="N52" s="18">
        <f t="shared" si="28"/>
        <v>2.9245283018867925</v>
      </c>
      <c r="O52" s="18">
        <f t="shared" si="29"/>
        <v>0.21344717182497333</v>
      </c>
    </row>
    <row r="53" spans="1:15" ht="15" x14ac:dyDescent="0.25">
      <c r="A53" s="16" t="s">
        <v>56</v>
      </c>
      <c r="B53" s="22"/>
      <c r="C53" s="19">
        <f t="shared" si="17"/>
        <v>0.22753711196142842</v>
      </c>
      <c r="D53" s="18">
        <f t="shared" si="18"/>
        <v>0</v>
      </c>
      <c r="E53" s="18">
        <f t="shared" si="19"/>
        <v>0</v>
      </c>
      <c r="F53" s="18">
        <f t="shared" si="20"/>
        <v>1.893461247159808E-2</v>
      </c>
      <c r="G53" s="18">
        <f t="shared" si="21"/>
        <v>2.3409335643054447E-3</v>
      </c>
      <c r="H53" s="18">
        <f t="shared" si="22"/>
        <v>5.9693107201797817E-2</v>
      </c>
      <c r="I53" s="18">
        <f t="shared" si="23"/>
        <v>0</v>
      </c>
      <c r="J53" s="18">
        <f t="shared" si="24"/>
        <v>0</v>
      </c>
      <c r="K53" s="18">
        <f t="shared" si="25"/>
        <v>0</v>
      </c>
      <c r="L53" s="18">
        <f t="shared" si="26"/>
        <v>15.457413249211358</v>
      </c>
      <c r="M53" s="18">
        <f t="shared" si="27"/>
        <v>79.870129870129873</v>
      </c>
      <c r="N53" s="18">
        <f t="shared" si="28"/>
        <v>0.47169811320754718</v>
      </c>
      <c r="O53" s="18">
        <f t="shared" si="29"/>
        <v>0</v>
      </c>
    </row>
    <row r="54" spans="1:15" ht="15" x14ac:dyDescent="0.25">
      <c r="A54" s="16" t="s">
        <v>10</v>
      </c>
      <c r="B54" s="22"/>
      <c r="C54" s="19">
        <f t="shared" si="17"/>
        <v>0.12913279826749877</v>
      </c>
      <c r="D54" s="18">
        <f t="shared" si="18"/>
        <v>0</v>
      </c>
      <c r="E54" s="18">
        <f t="shared" si="19"/>
        <v>0</v>
      </c>
      <c r="F54" s="18">
        <f t="shared" si="20"/>
        <v>0</v>
      </c>
      <c r="G54" s="18">
        <f t="shared" si="21"/>
        <v>2.3409335643054447E-3</v>
      </c>
      <c r="H54" s="18">
        <f t="shared" si="22"/>
        <v>3.1602233224481198E-2</v>
      </c>
      <c r="I54" s="18">
        <f t="shared" si="23"/>
        <v>0</v>
      </c>
      <c r="J54" s="18">
        <f t="shared" si="24"/>
        <v>4.5946497855830097E-2</v>
      </c>
      <c r="K54" s="18">
        <f t="shared" si="25"/>
        <v>3.2915308910174117E-3</v>
      </c>
      <c r="L54" s="18">
        <f t="shared" si="26"/>
        <v>0.47318611987381703</v>
      </c>
      <c r="M54" s="18">
        <f t="shared" si="27"/>
        <v>19.155844155844157</v>
      </c>
      <c r="N54" s="18">
        <f t="shared" si="28"/>
        <v>19.433962264150946</v>
      </c>
      <c r="O54" s="18">
        <f t="shared" si="29"/>
        <v>0.32017075773745995</v>
      </c>
    </row>
    <row r="55" spans="1:15" ht="15" x14ac:dyDescent="0.25">
      <c r="A55" s="16" t="s">
        <v>57</v>
      </c>
      <c r="B55" s="22"/>
      <c r="C55" s="19">
        <f t="shared" si="17"/>
        <v>0.50519091900117796</v>
      </c>
      <c r="D55" s="18">
        <f t="shared" si="18"/>
        <v>0</v>
      </c>
      <c r="E55" s="18">
        <f t="shared" si="19"/>
        <v>0</v>
      </c>
      <c r="F55" s="18">
        <f t="shared" si="20"/>
        <v>0</v>
      </c>
      <c r="G55" s="18">
        <f t="shared" si="21"/>
        <v>0</v>
      </c>
      <c r="H55" s="18">
        <f t="shared" si="22"/>
        <v>2.1068155482987464E-2</v>
      </c>
      <c r="I55" s="18">
        <f t="shared" si="23"/>
        <v>0</v>
      </c>
      <c r="J55" s="18">
        <f t="shared" si="24"/>
        <v>0.12252399428221361</v>
      </c>
      <c r="K55" s="18">
        <f t="shared" si="25"/>
        <v>6.5830617820348235E-3</v>
      </c>
      <c r="L55" s="18">
        <f t="shared" si="26"/>
        <v>0.15772870662460567</v>
      </c>
      <c r="M55" s="18">
        <f t="shared" si="27"/>
        <v>0.48701298701298701</v>
      </c>
      <c r="N55" s="18">
        <f t="shared" si="28"/>
        <v>20.943396226415096</v>
      </c>
      <c r="O55" s="18">
        <f t="shared" si="29"/>
        <v>59.925293489861261</v>
      </c>
    </row>
    <row r="56" spans="1:15" ht="15" x14ac:dyDescent="0.25">
      <c r="A56" s="16" t="s">
        <v>11</v>
      </c>
      <c r="B56" s="22"/>
      <c r="C56" s="19">
        <f t="shared" si="17"/>
        <v>0.31277207512382849</v>
      </c>
      <c r="D56" s="18">
        <f t="shared" si="18"/>
        <v>0</v>
      </c>
      <c r="E56" s="18">
        <f t="shared" si="19"/>
        <v>0</v>
      </c>
      <c r="F56" s="18">
        <f t="shared" si="20"/>
        <v>0</v>
      </c>
      <c r="G56" s="18">
        <f t="shared" si="21"/>
        <v>0</v>
      </c>
      <c r="H56" s="18">
        <f t="shared" si="22"/>
        <v>1.0534077741493732E-2</v>
      </c>
      <c r="I56" s="18">
        <f t="shared" si="23"/>
        <v>0</v>
      </c>
      <c r="J56" s="18">
        <f t="shared" si="24"/>
        <v>0.16336532570961812</v>
      </c>
      <c r="K56" s="18">
        <f t="shared" si="25"/>
        <v>1.3166123564069647E-2</v>
      </c>
      <c r="L56" s="18">
        <f t="shared" si="26"/>
        <v>0.15772870662460567</v>
      </c>
      <c r="M56" s="18">
        <f t="shared" si="27"/>
        <v>0</v>
      </c>
      <c r="N56" s="18">
        <f t="shared" si="28"/>
        <v>7.3584905660377355</v>
      </c>
      <c r="O56" s="18">
        <f t="shared" si="29"/>
        <v>39.327641408751333</v>
      </c>
    </row>
    <row r="57" spans="1:15" ht="15.75" thickBot="1" x14ac:dyDescent="0.3">
      <c r="A57" s="25" t="s">
        <v>13</v>
      </c>
      <c r="B57" s="26"/>
      <c r="C57" s="27">
        <f>C18/C18*100</f>
        <v>100</v>
      </c>
      <c r="D57" s="27">
        <f t="shared" si="18"/>
        <v>100</v>
      </c>
      <c r="E57" s="27">
        <f t="shared" si="19"/>
        <v>100</v>
      </c>
      <c r="F57" s="27">
        <f t="shared" si="20"/>
        <v>100</v>
      </c>
      <c r="G57" s="27">
        <f t="shared" si="21"/>
        <v>100</v>
      </c>
      <c r="H57" s="27">
        <f t="shared" si="22"/>
        <v>100</v>
      </c>
      <c r="I57" s="27">
        <f t="shared" si="23"/>
        <v>100</v>
      </c>
      <c r="J57" s="27">
        <f t="shared" si="24"/>
        <v>100</v>
      </c>
      <c r="K57" s="27">
        <f t="shared" si="25"/>
        <v>100</v>
      </c>
      <c r="L57" s="27">
        <f t="shared" si="26"/>
        <v>100</v>
      </c>
      <c r="M57" s="27">
        <f t="shared" si="27"/>
        <v>100</v>
      </c>
      <c r="N57" s="27">
        <f t="shared" si="28"/>
        <v>100</v>
      </c>
      <c r="O57" s="27">
        <f t="shared" si="29"/>
        <v>100</v>
      </c>
    </row>
    <row r="58" spans="1:15" x14ac:dyDescent="0.2">
      <c r="A58" s="7" t="s">
        <v>47</v>
      </c>
      <c r="B58" s="7"/>
    </row>
    <row r="59" spans="1:15" x14ac:dyDescent="0.2">
      <c r="A59" s="7"/>
      <c r="B59" s="7"/>
    </row>
    <row r="60" spans="1:15" x14ac:dyDescent="0.2">
      <c r="A60" s="7"/>
      <c r="B60" s="7"/>
    </row>
    <row r="61" spans="1:15" x14ac:dyDescent="0.2">
      <c r="A61" s="7"/>
      <c r="B61" s="7"/>
    </row>
    <row r="62" spans="1:15" x14ac:dyDescent="0.2">
      <c r="A62" s="7"/>
      <c r="B62" s="7"/>
    </row>
    <row r="63" spans="1:15" x14ac:dyDescent="0.2">
      <c r="A63" s="7"/>
      <c r="B63" s="7"/>
    </row>
  </sheetData>
  <pageMargins left="0.70866141732283472" right="0.70866141732283472" top="0.74803149606299213" bottom="0.74803149606299213" header="0.31496062992125984" footer="0.31496062992125984"/>
  <pageSetup paperSize="9" scale="63" fitToHeight="0" orientation="landscape" r:id="rId1"/>
  <headerFooter>
    <oddFooter>&amp;LDepartament d'Educació, Estadística d'itineraris educatius.&amp;R&amp;P/&amp;N</oddFooter>
  </headerFooter>
  <rowBreaks count="1" manualBreakCount="1">
    <brk id="40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3"/>
  <sheetViews>
    <sheetView showGridLines="0" zoomScaleNormal="100" workbookViewId="0">
      <selection activeCell="D4" sqref="D4"/>
    </sheetView>
  </sheetViews>
  <sheetFormatPr defaultColWidth="9.140625" defaultRowHeight="14.25" x14ac:dyDescent="0.2"/>
  <cols>
    <col min="1" max="1" width="11.42578125" style="2" customWidth="1"/>
    <col min="2" max="15" width="12.140625" style="2" customWidth="1"/>
    <col min="16" max="16" width="12.5703125" style="2" customWidth="1"/>
    <col min="17" max="16384" width="9.140625" style="2"/>
  </cols>
  <sheetData>
    <row r="1" spans="1:15" ht="33.75" customHeight="1" x14ac:dyDescent="0.2"/>
    <row r="2" spans="1:15" ht="24.75" customHeight="1" x14ac:dyDescent="0.25">
      <c r="A2" s="65" t="s">
        <v>44</v>
      </c>
      <c r="B2" s="60" t="s">
        <v>27</v>
      </c>
      <c r="C2" s="3"/>
      <c r="D2" s="3"/>
      <c r="E2" s="3"/>
    </row>
    <row r="3" spans="1:15" ht="16.5" customHeight="1" thickBot="1" x14ac:dyDescent="0.55000000000000004">
      <c r="A3" s="52"/>
      <c r="B3" s="10" t="s">
        <v>26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17"/>
      <c r="O3" s="6" t="s">
        <v>2</v>
      </c>
    </row>
    <row r="4" spans="1:15" ht="32.25" customHeight="1" x14ac:dyDescent="0.2">
      <c r="A4" s="74" t="s">
        <v>64</v>
      </c>
      <c r="B4" s="73"/>
      <c r="C4" s="55"/>
      <c r="D4" s="55"/>
      <c r="E4" s="55"/>
      <c r="F4" s="55"/>
      <c r="G4" s="55"/>
      <c r="H4" s="63" t="s">
        <v>30</v>
      </c>
      <c r="I4" s="55"/>
      <c r="J4" s="55"/>
      <c r="K4" s="55"/>
      <c r="L4" s="55"/>
      <c r="M4" s="55"/>
      <c r="N4" s="55"/>
      <c r="O4" s="55"/>
    </row>
    <row r="5" spans="1:15" ht="43.5" customHeight="1" x14ac:dyDescent="0.2">
      <c r="A5" s="72" t="s">
        <v>70</v>
      </c>
      <c r="B5" s="70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54</v>
      </c>
      <c r="I5" s="24" t="s">
        <v>8</v>
      </c>
      <c r="J5" s="24" t="s">
        <v>55</v>
      </c>
      <c r="K5" s="24" t="s">
        <v>9</v>
      </c>
      <c r="L5" s="24" t="s">
        <v>56</v>
      </c>
      <c r="M5" s="24" t="s">
        <v>10</v>
      </c>
      <c r="N5" s="24" t="s">
        <v>57</v>
      </c>
      <c r="O5" s="24" t="s">
        <v>11</v>
      </c>
    </row>
    <row r="6" spans="1:15" ht="14.25" customHeight="1" x14ac:dyDescent="0.2">
      <c r="A6" s="16" t="s">
        <v>51</v>
      </c>
      <c r="B6" s="12">
        <v>81743</v>
      </c>
      <c r="C6" s="13">
        <f t="shared" ref="C6:C17" si="0">SUM(D6:O6)</f>
        <v>76629</v>
      </c>
      <c r="D6" s="15">
        <v>3296</v>
      </c>
      <c r="E6" s="15">
        <v>73333</v>
      </c>
      <c r="F6" s="15"/>
      <c r="G6" s="15"/>
      <c r="H6" s="15"/>
      <c r="I6" s="15"/>
      <c r="J6" s="15"/>
      <c r="K6" s="15"/>
      <c r="L6" s="15"/>
      <c r="M6" s="14"/>
      <c r="N6" s="15"/>
      <c r="O6" s="15"/>
    </row>
    <row r="7" spans="1:15" x14ac:dyDescent="0.2">
      <c r="A7" s="16" t="s">
        <v>52</v>
      </c>
      <c r="B7" s="12">
        <v>75394</v>
      </c>
      <c r="C7" s="13">
        <f t="shared" si="0"/>
        <v>66238</v>
      </c>
      <c r="D7" s="15"/>
      <c r="E7" s="15">
        <v>2966</v>
      </c>
      <c r="F7" s="15">
        <v>45359</v>
      </c>
      <c r="G7" s="15"/>
      <c r="H7" s="15">
        <v>17514</v>
      </c>
      <c r="I7" s="15"/>
      <c r="J7" s="15"/>
      <c r="K7" s="15"/>
      <c r="L7" s="15">
        <v>399</v>
      </c>
      <c r="M7" s="14"/>
      <c r="N7" s="15"/>
      <c r="O7" s="15"/>
    </row>
    <row r="8" spans="1:15" x14ac:dyDescent="0.2">
      <c r="A8" s="16" t="s">
        <v>53</v>
      </c>
      <c r="B8" s="12">
        <v>49079</v>
      </c>
      <c r="C8" s="13">
        <f t="shared" si="0"/>
        <v>46162</v>
      </c>
      <c r="D8" s="15"/>
      <c r="E8" s="15">
        <v>2</v>
      </c>
      <c r="F8" s="15">
        <v>3283</v>
      </c>
      <c r="G8" s="15">
        <v>39132</v>
      </c>
      <c r="H8" s="15">
        <v>3489</v>
      </c>
      <c r="I8" s="15">
        <v>111</v>
      </c>
      <c r="J8" s="15">
        <v>50</v>
      </c>
      <c r="K8" s="15"/>
      <c r="L8" s="15">
        <v>90</v>
      </c>
      <c r="M8" s="14">
        <v>1</v>
      </c>
      <c r="N8" s="15">
        <v>4</v>
      </c>
      <c r="O8" s="15"/>
    </row>
    <row r="9" spans="1:15" x14ac:dyDescent="0.2">
      <c r="A9" s="16" t="s">
        <v>0</v>
      </c>
      <c r="B9" s="12">
        <v>43505</v>
      </c>
      <c r="C9" s="13">
        <f t="shared" si="0"/>
        <v>11530</v>
      </c>
      <c r="D9" s="15"/>
      <c r="E9" s="15"/>
      <c r="F9" s="15">
        <v>7</v>
      </c>
      <c r="G9" s="15">
        <v>3770</v>
      </c>
      <c r="H9" s="15">
        <v>353</v>
      </c>
      <c r="I9" s="15">
        <v>18</v>
      </c>
      <c r="J9" s="15">
        <v>6920</v>
      </c>
      <c r="K9" s="15">
        <v>14</v>
      </c>
      <c r="L9" s="15">
        <v>8</v>
      </c>
      <c r="M9" s="14"/>
      <c r="N9" s="15">
        <v>440</v>
      </c>
      <c r="O9" s="15"/>
    </row>
    <row r="10" spans="1:15" x14ac:dyDescent="0.2">
      <c r="A10" s="16" t="s">
        <v>54</v>
      </c>
      <c r="B10" s="12">
        <v>37145</v>
      </c>
      <c r="C10" s="13">
        <f t="shared" si="0"/>
        <v>27651</v>
      </c>
      <c r="D10" s="15"/>
      <c r="E10" s="15">
        <v>1</v>
      </c>
      <c r="F10" s="15">
        <v>237</v>
      </c>
      <c r="G10" s="15">
        <v>30</v>
      </c>
      <c r="H10" s="15">
        <v>7477</v>
      </c>
      <c r="I10" s="15">
        <v>17298</v>
      </c>
      <c r="J10" s="15">
        <v>2488</v>
      </c>
      <c r="K10" s="15">
        <v>89</v>
      </c>
      <c r="L10" s="15">
        <v>26</v>
      </c>
      <c r="M10" s="14">
        <v>1</v>
      </c>
      <c r="N10" s="15">
        <v>3</v>
      </c>
      <c r="O10" s="15">
        <v>1</v>
      </c>
    </row>
    <row r="11" spans="1:15" x14ac:dyDescent="0.2">
      <c r="A11" s="16" t="s">
        <v>8</v>
      </c>
      <c r="B11" s="12">
        <v>24360</v>
      </c>
      <c r="C11" s="13">
        <f t="shared" si="0"/>
        <v>15248</v>
      </c>
      <c r="D11" s="15"/>
      <c r="E11" s="15"/>
      <c r="F11" s="15">
        <v>68</v>
      </c>
      <c r="G11" s="15">
        <v>12</v>
      </c>
      <c r="H11" s="15">
        <v>671</v>
      </c>
      <c r="I11" s="15">
        <v>6647</v>
      </c>
      <c r="J11" s="15">
        <v>7672</v>
      </c>
      <c r="K11" s="15">
        <v>145</v>
      </c>
      <c r="L11" s="15">
        <v>13</v>
      </c>
      <c r="M11" s="14">
        <v>1</v>
      </c>
      <c r="N11" s="15">
        <v>19</v>
      </c>
      <c r="O11" s="15"/>
    </row>
    <row r="12" spans="1:15" x14ac:dyDescent="0.2">
      <c r="A12" s="16" t="s">
        <v>55</v>
      </c>
      <c r="B12" s="12">
        <v>31001</v>
      </c>
      <c r="C12" s="13">
        <f t="shared" si="0"/>
        <v>26326</v>
      </c>
      <c r="D12" s="15"/>
      <c r="E12" s="15"/>
      <c r="F12" s="15">
        <v>8</v>
      </c>
      <c r="G12" s="15">
        <v>3</v>
      </c>
      <c r="H12" s="15">
        <v>100</v>
      </c>
      <c r="I12" s="15">
        <v>23</v>
      </c>
      <c r="J12" s="15">
        <v>2570</v>
      </c>
      <c r="K12" s="15">
        <v>23599</v>
      </c>
      <c r="L12" s="15">
        <v>1</v>
      </c>
      <c r="M12" s="14"/>
      <c r="N12" s="15">
        <v>18</v>
      </c>
      <c r="O12" s="15">
        <v>4</v>
      </c>
    </row>
    <row r="13" spans="1:15" x14ac:dyDescent="0.2">
      <c r="A13" s="16" t="s">
        <v>9</v>
      </c>
      <c r="B13" s="12">
        <v>31377</v>
      </c>
      <c r="C13" s="13">
        <f t="shared" si="0"/>
        <v>8690</v>
      </c>
      <c r="D13" s="15"/>
      <c r="E13" s="15"/>
      <c r="F13" s="15">
        <v>3</v>
      </c>
      <c r="G13" s="15">
        <v>3</v>
      </c>
      <c r="H13" s="15">
        <v>101</v>
      </c>
      <c r="I13" s="15">
        <v>32</v>
      </c>
      <c r="J13" s="15">
        <v>1007</v>
      </c>
      <c r="K13" s="15">
        <v>7508</v>
      </c>
      <c r="L13" s="15"/>
      <c r="M13" s="14"/>
      <c r="N13" s="15">
        <v>31</v>
      </c>
      <c r="O13" s="15">
        <v>5</v>
      </c>
    </row>
    <row r="14" spans="1:15" x14ac:dyDescent="0.2">
      <c r="A14" s="16" t="s">
        <v>56</v>
      </c>
      <c r="B14" s="12">
        <v>813</v>
      </c>
      <c r="C14" s="13">
        <f t="shared" si="0"/>
        <v>610</v>
      </c>
      <c r="D14" s="15"/>
      <c r="E14" s="15"/>
      <c r="F14" s="15">
        <v>3</v>
      </c>
      <c r="G14" s="15">
        <v>2</v>
      </c>
      <c r="H14" s="15">
        <v>27</v>
      </c>
      <c r="I14" s="15">
        <v>1</v>
      </c>
      <c r="J14" s="15">
        <v>1</v>
      </c>
      <c r="K14" s="15"/>
      <c r="L14" s="15">
        <v>91</v>
      </c>
      <c r="M14" s="14">
        <v>471</v>
      </c>
      <c r="N14" s="15">
        <v>14</v>
      </c>
      <c r="O14" s="15"/>
    </row>
    <row r="15" spans="1:15" x14ac:dyDescent="0.2">
      <c r="A15" s="16" t="s">
        <v>10</v>
      </c>
      <c r="B15" s="12">
        <v>640</v>
      </c>
      <c r="C15" s="13">
        <f t="shared" si="0"/>
        <v>444</v>
      </c>
      <c r="D15" s="15"/>
      <c r="E15" s="15"/>
      <c r="F15" s="15">
        <v>2</v>
      </c>
      <c r="G15" s="15">
        <v>1</v>
      </c>
      <c r="H15" s="15">
        <v>10</v>
      </c>
      <c r="I15" s="15"/>
      <c r="J15" s="15">
        <v>7</v>
      </c>
      <c r="K15" s="15"/>
      <c r="L15" s="15">
        <v>2</v>
      </c>
      <c r="M15" s="14">
        <v>179</v>
      </c>
      <c r="N15" s="15">
        <v>236</v>
      </c>
      <c r="O15" s="15">
        <v>7</v>
      </c>
    </row>
    <row r="16" spans="1:15" x14ac:dyDescent="0.2">
      <c r="A16" s="16" t="s">
        <v>57</v>
      </c>
      <c r="B16" s="12">
        <v>1814</v>
      </c>
      <c r="C16" s="13">
        <f t="shared" si="0"/>
        <v>1387</v>
      </c>
      <c r="D16" s="15"/>
      <c r="E16" s="15"/>
      <c r="F16" s="15">
        <v>1</v>
      </c>
      <c r="G16" s="15">
        <v>1</v>
      </c>
      <c r="H16" s="15">
        <v>3</v>
      </c>
      <c r="I16" s="15"/>
      <c r="J16" s="15">
        <v>34</v>
      </c>
      <c r="K16" s="15">
        <v>2</v>
      </c>
      <c r="L16" s="15">
        <v>1</v>
      </c>
      <c r="M16" s="14">
        <v>1</v>
      </c>
      <c r="N16" s="15">
        <v>194</v>
      </c>
      <c r="O16" s="15">
        <v>1150</v>
      </c>
    </row>
    <row r="17" spans="1:15" x14ac:dyDescent="0.2">
      <c r="A17" s="16" t="s">
        <v>11</v>
      </c>
      <c r="B17" s="12">
        <v>1949</v>
      </c>
      <c r="C17" s="13">
        <f t="shared" si="0"/>
        <v>828</v>
      </c>
      <c r="D17" s="15"/>
      <c r="E17" s="15"/>
      <c r="F17" s="15"/>
      <c r="G17" s="15"/>
      <c r="H17" s="15">
        <v>5</v>
      </c>
      <c r="I17" s="15">
        <v>1</v>
      </c>
      <c r="J17" s="15">
        <v>32</v>
      </c>
      <c r="K17" s="15">
        <v>6</v>
      </c>
      <c r="L17" s="15">
        <v>2</v>
      </c>
      <c r="M17" s="14">
        <v>3</v>
      </c>
      <c r="N17" s="15">
        <v>73</v>
      </c>
      <c r="O17" s="15">
        <v>706</v>
      </c>
    </row>
    <row r="18" spans="1:15" ht="15" thickBot="1" x14ac:dyDescent="0.25">
      <c r="A18" s="25" t="s">
        <v>25</v>
      </c>
      <c r="B18" s="30">
        <f>SUM(B6:B17)</f>
        <v>378820</v>
      </c>
      <c r="C18" s="30">
        <f>SUM(C6:C17)</f>
        <v>281743</v>
      </c>
      <c r="D18" s="31">
        <f>SUM(D6:D17)</f>
        <v>3296</v>
      </c>
      <c r="E18" s="31">
        <f t="shared" ref="E18:O18" si="1">SUM(E6:E17)</f>
        <v>76302</v>
      </c>
      <c r="F18" s="31">
        <f t="shared" si="1"/>
        <v>48971</v>
      </c>
      <c r="G18" s="31">
        <f t="shared" si="1"/>
        <v>42954</v>
      </c>
      <c r="H18" s="31">
        <f t="shared" si="1"/>
        <v>29750</v>
      </c>
      <c r="I18" s="31">
        <f t="shared" si="1"/>
        <v>24131</v>
      </c>
      <c r="J18" s="31">
        <f t="shared" si="1"/>
        <v>20781</v>
      </c>
      <c r="K18" s="31">
        <f t="shared" si="1"/>
        <v>31363</v>
      </c>
      <c r="L18" s="31">
        <f t="shared" si="1"/>
        <v>633</v>
      </c>
      <c r="M18" s="31">
        <f t="shared" si="1"/>
        <v>657</v>
      </c>
      <c r="N18" s="31">
        <f t="shared" si="1"/>
        <v>1032</v>
      </c>
      <c r="O18" s="31">
        <f t="shared" si="1"/>
        <v>1873</v>
      </c>
    </row>
    <row r="19" spans="1:15" x14ac:dyDescent="0.2">
      <c r="A19" s="7" t="s">
        <v>47</v>
      </c>
      <c r="B19" s="7"/>
    </row>
    <row r="20" spans="1:15" x14ac:dyDescent="0.2">
      <c r="A20" s="11"/>
    </row>
    <row r="21" spans="1:15" x14ac:dyDescent="0.2">
      <c r="A21" s="11"/>
    </row>
    <row r="22" spans="1:15" ht="21.75" customHeight="1" x14ac:dyDescent="0.25">
      <c r="A22" s="65" t="s">
        <v>45</v>
      </c>
      <c r="B22" s="60" t="s">
        <v>28</v>
      </c>
      <c r="C22" s="3"/>
      <c r="D22" s="3"/>
      <c r="E22" s="3"/>
    </row>
    <row r="23" spans="1:15" ht="16.5" customHeight="1" thickBot="1" x14ac:dyDescent="0.3">
      <c r="A23" s="67"/>
      <c r="B23" s="10" t="s">
        <v>26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17"/>
      <c r="O23" s="21" t="s">
        <v>3</v>
      </c>
    </row>
    <row r="24" spans="1:15" ht="34.5" customHeight="1" x14ac:dyDescent="0.2">
      <c r="A24" s="74" t="s">
        <v>64</v>
      </c>
      <c r="B24" s="74"/>
      <c r="C24" s="55"/>
      <c r="D24" s="55"/>
      <c r="E24" s="55"/>
      <c r="F24" s="55"/>
      <c r="G24" s="55"/>
      <c r="H24" s="63" t="s">
        <v>30</v>
      </c>
      <c r="I24" s="55"/>
      <c r="J24" s="55"/>
      <c r="K24" s="55"/>
      <c r="L24" s="55"/>
      <c r="M24" s="55"/>
      <c r="N24" s="55"/>
      <c r="O24" s="55"/>
    </row>
    <row r="25" spans="1:15" ht="43.5" customHeight="1" x14ac:dyDescent="0.2">
      <c r="A25" s="72" t="s">
        <v>70</v>
      </c>
      <c r="B25" s="75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54</v>
      </c>
      <c r="I25" s="24" t="s">
        <v>8</v>
      </c>
      <c r="J25" s="24" t="s">
        <v>55</v>
      </c>
      <c r="K25" s="24" t="s">
        <v>9</v>
      </c>
      <c r="L25" s="24" t="s">
        <v>56</v>
      </c>
      <c r="M25" s="24" t="s">
        <v>10</v>
      </c>
      <c r="N25" s="24" t="s">
        <v>57</v>
      </c>
      <c r="O25" s="24" t="s">
        <v>11</v>
      </c>
    </row>
    <row r="26" spans="1:15" ht="14.25" customHeight="1" x14ac:dyDescent="0.2">
      <c r="A26" s="16" t="s">
        <v>51</v>
      </c>
      <c r="B26" s="12">
        <f t="shared" ref="B26:B38" si="2">B6/B6*100</f>
        <v>100</v>
      </c>
      <c r="C26" s="19">
        <f t="shared" ref="C26:C38" si="3">SUM(D26:O26)</f>
        <v>93.743806809145738</v>
      </c>
      <c r="D26" s="18">
        <f>D6/$B$6*100</f>
        <v>4.0321495418567954</v>
      </c>
      <c r="E26" s="18">
        <f t="shared" ref="E26:O26" si="4">E6/$B$6*100</f>
        <v>89.711657267288942</v>
      </c>
      <c r="F26" s="18">
        <f t="shared" si="4"/>
        <v>0</v>
      </c>
      <c r="G26" s="18">
        <f t="shared" si="4"/>
        <v>0</v>
      </c>
      <c r="H26" s="18">
        <f t="shared" si="4"/>
        <v>0</v>
      </c>
      <c r="I26" s="18">
        <f t="shared" si="4"/>
        <v>0</v>
      </c>
      <c r="J26" s="18">
        <f t="shared" si="4"/>
        <v>0</v>
      </c>
      <c r="K26" s="18">
        <f t="shared" si="4"/>
        <v>0</v>
      </c>
      <c r="L26" s="18">
        <f t="shared" si="4"/>
        <v>0</v>
      </c>
      <c r="M26" s="18">
        <f t="shared" si="4"/>
        <v>0</v>
      </c>
      <c r="N26" s="18">
        <f t="shared" si="4"/>
        <v>0</v>
      </c>
      <c r="O26" s="18">
        <f t="shared" si="4"/>
        <v>0</v>
      </c>
    </row>
    <row r="27" spans="1:15" x14ac:dyDescent="0.2">
      <c r="A27" s="16" t="s">
        <v>52</v>
      </c>
      <c r="B27" s="12">
        <f t="shared" si="2"/>
        <v>100</v>
      </c>
      <c r="C27" s="19">
        <f t="shared" si="3"/>
        <v>87.855797543571114</v>
      </c>
      <c r="D27" s="18">
        <f t="shared" ref="D27:O27" si="5">D7/$B$7*100</f>
        <v>0</v>
      </c>
      <c r="E27" s="18">
        <f t="shared" si="5"/>
        <v>3.9340000530546195</v>
      </c>
      <c r="F27" s="18">
        <f t="shared" si="5"/>
        <v>60.162612409475557</v>
      </c>
      <c r="G27" s="18">
        <f t="shared" si="5"/>
        <v>0</v>
      </c>
      <c r="H27" s="18">
        <f t="shared" si="5"/>
        <v>23.229965249224076</v>
      </c>
      <c r="I27" s="18">
        <f t="shared" si="5"/>
        <v>0</v>
      </c>
      <c r="J27" s="18">
        <f t="shared" si="5"/>
        <v>0</v>
      </c>
      <c r="K27" s="18">
        <f t="shared" si="5"/>
        <v>0</v>
      </c>
      <c r="L27" s="18">
        <f t="shared" si="5"/>
        <v>0.5292198318168555</v>
      </c>
      <c r="M27" s="18">
        <f t="shared" si="5"/>
        <v>0</v>
      </c>
      <c r="N27" s="18">
        <f t="shared" si="5"/>
        <v>0</v>
      </c>
      <c r="O27" s="18">
        <f t="shared" si="5"/>
        <v>0</v>
      </c>
    </row>
    <row r="28" spans="1:15" x14ac:dyDescent="0.2">
      <c r="A28" s="16" t="s">
        <v>53</v>
      </c>
      <c r="B28" s="12">
        <f t="shared" si="2"/>
        <v>100</v>
      </c>
      <c r="C28" s="19">
        <f t="shared" si="3"/>
        <v>94.056521119012203</v>
      </c>
      <c r="D28" s="18">
        <f t="shared" ref="D28:O28" si="6">D8/$B$8*100</f>
        <v>0</v>
      </c>
      <c r="E28" s="18">
        <f t="shared" si="6"/>
        <v>4.0750626540883069E-3</v>
      </c>
      <c r="F28" s="18">
        <f t="shared" si="6"/>
        <v>6.6892153466859545</v>
      </c>
      <c r="G28" s="18">
        <f t="shared" si="6"/>
        <v>79.732675889891809</v>
      </c>
      <c r="H28" s="18">
        <f t="shared" si="6"/>
        <v>7.1089468000570504</v>
      </c>
      <c r="I28" s="18">
        <f t="shared" si="6"/>
        <v>0.22616597730190099</v>
      </c>
      <c r="J28" s="18">
        <f t="shared" si="6"/>
        <v>0.10187656635220767</v>
      </c>
      <c r="K28" s="18">
        <f t="shared" si="6"/>
        <v>0</v>
      </c>
      <c r="L28" s="18">
        <f t="shared" si="6"/>
        <v>0.1833778194339738</v>
      </c>
      <c r="M28" s="18">
        <f t="shared" si="6"/>
        <v>2.0375313270441535E-3</v>
      </c>
      <c r="N28" s="18">
        <f t="shared" si="6"/>
        <v>8.1501253081766138E-3</v>
      </c>
      <c r="O28" s="18">
        <f t="shared" si="6"/>
        <v>0</v>
      </c>
    </row>
    <row r="29" spans="1:15" x14ac:dyDescent="0.2">
      <c r="A29" s="16" t="s">
        <v>0</v>
      </c>
      <c r="B29" s="12">
        <f t="shared" si="2"/>
        <v>100</v>
      </c>
      <c r="C29" s="19">
        <f t="shared" si="3"/>
        <v>26.502700838984026</v>
      </c>
      <c r="D29" s="18">
        <f t="shared" ref="D29:O29" si="7">D9/$B$9*100</f>
        <v>0</v>
      </c>
      <c r="E29" s="18">
        <f t="shared" si="7"/>
        <v>0</v>
      </c>
      <c r="F29" s="18">
        <f t="shared" si="7"/>
        <v>1.6090104585679808E-2</v>
      </c>
      <c r="G29" s="18">
        <f t="shared" si="7"/>
        <v>8.6656706125732672</v>
      </c>
      <c r="H29" s="18">
        <f t="shared" si="7"/>
        <v>0.81140098839213881</v>
      </c>
      <c r="I29" s="18">
        <f t="shared" si="7"/>
        <v>4.1374554648890935E-2</v>
      </c>
      <c r="J29" s="18">
        <f t="shared" si="7"/>
        <v>15.906217676129181</v>
      </c>
      <c r="K29" s="18">
        <f t="shared" si="7"/>
        <v>3.2180209171359615E-2</v>
      </c>
      <c r="L29" s="18">
        <f t="shared" si="7"/>
        <v>1.8388690955062636E-2</v>
      </c>
      <c r="M29" s="18">
        <f t="shared" si="7"/>
        <v>0</v>
      </c>
      <c r="N29" s="18">
        <f t="shared" si="7"/>
        <v>1.0113780025284451</v>
      </c>
      <c r="O29" s="18">
        <f t="shared" si="7"/>
        <v>0</v>
      </c>
    </row>
    <row r="30" spans="1:15" x14ac:dyDescent="0.2">
      <c r="A30" s="16" t="s">
        <v>54</v>
      </c>
      <c r="B30" s="12">
        <f t="shared" si="2"/>
        <v>100</v>
      </c>
      <c r="C30" s="19">
        <f t="shared" si="3"/>
        <v>74.440705343922474</v>
      </c>
      <c r="D30" s="18">
        <f t="shared" ref="D30:O30" si="8">D10/$B$10*100</f>
        <v>0</v>
      </c>
      <c r="E30" s="18">
        <f t="shared" si="8"/>
        <v>2.6921523758244715E-3</v>
      </c>
      <c r="F30" s="18">
        <f t="shared" si="8"/>
        <v>0.63804011307039976</v>
      </c>
      <c r="G30" s="18">
        <f t="shared" si="8"/>
        <v>8.0764571274734145E-2</v>
      </c>
      <c r="H30" s="18">
        <f t="shared" si="8"/>
        <v>20.129223314039574</v>
      </c>
      <c r="I30" s="18">
        <f t="shared" si="8"/>
        <v>46.56885179701171</v>
      </c>
      <c r="J30" s="18">
        <f t="shared" si="8"/>
        <v>6.6980751110512857</v>
      </c>
      <c r="K30" s="18">
        <f t="shared" si="8"/>
        <v>0.23960156144837799</v>
      </c>
      <c r="L30" s="18">
        <f t="shared" si="8"/>
        <v>6.9995961771436258E-2</v>
      </c>
      <c r="M30" s="18">
        <f t="shared" si="8"/>
        <v>2.6921523758244715E-3</v>
      </c>
      <c r="N30" s="18">
        <f t="shared" si="8"/>
        <v>8.0764571274734142E-3</v>
      </c>
      <c r="O30" s="18">
        <f t="shared" si="8"/>
        <v>2.6921523758244715E-3</v>
      </c>
    </row>
    <row r="31" spans="1:15" x14ac:dyDescent="0.2">
      <c r="A31" s="16" t="s">
        <v>8</v>
      </c>
      <c r="B31" s="12">
        <f t="shared" si="2"/>
        <v>100</v>
      </c>
      <c r="C31" s="19">
        <f t="shared" si="3"/>
        <v>62.594417077175699</v>
      </c>
      <c r="D31" s="18">
        <f t="shared" ref="D31:O31" si="9">D11/$B$11*100</f>
        <v>0</v>
      </c>
      <c r="E31" s="18">
        <f t="shared" si="9"/>
        <v>0</v>
      </c>
      <c r="F31" s="18">
        <f t="shared" si="9"/>
        <v>0.27914614121510672</v>
      </c>
      <c r="G31" s="18">
        <f t="shared" si="9"/>
        <v>4.926108374384236E-2</v>
      </c>
      <c r="H31" s="18">
        <f t="shared" si="9"/>
        <v>2.7545155993431858</v>
      </c>
      <c r="I31" s="18">
        <f t="shared" si="9"/>
        <v>27.286535303776681</v>
      </c>
      <c r="J31" s="18">
        <f t="shared" si="9"/>
        <v>31.494252873563216</v>
      </c>
      <c r="K31" s="18">
        <f t="shared" si="9"/>
        <v>0.59523809523809523</v>
      </c>
      <c r="L31" s="18">
        <f t="shared" si="9"/>
        <v>5.3366174055829226E-2</v>
      </c>
      <c r="M31" s="18">
        <f t="shared" si="9"/>
        <v>4.1050903119868639E-3</v>
      </c>
      <c r="N31" s="18">
        <f t="shared" si="9"/>
        <v>7.7996715927750412E-2</v>
      </c>
      <c r="O31" s="18">
        <f t="shared" si="9"/>
        <v>0</v>
      </c>
    </row>
    <row r="32" spans="1:15" x14ac:dyDescent="0.2">
      <c r="A32" s="16" t="s">
        <v>55</v>
      </c>
      <c r="B32" s="12">
        <f t="shared" si="2"/>
        <v>100</v>
      </c>
      <c r="C32" s="19">
        <f t="shared" si="3"/>
        <v>84.919841295442083</v>
      </c>
      <c r="D32" s="18">
        <f t="shared" ref="D32:O32" si="10">D12/$B$12*100</f>
        <v>0</v>
      </c>
      <c r="E32" s="18">
        <f t="shared" si="10"/>
        <v>0</v>
      </c>
      <c r="F32" s="18">
        <f t="shared" si="10"/>
        <v>2.5805619173575049E-2</v>
      </c>
      <c r="G32" s="18">
        <f t="shared" si="10"/>
        <v>9.6771071900906419E-3</v>
      </c>
      <c r="H32" s="18">
        <f t="shared" si="10"/>
        <v>0.32257023966968806</v>
      </c>
      <c r="I32" s="18">
        <f t="shared" si="10"/>
        <v>7.4191155124028255E-2</v>
      </c>
      <c r="J32" s="18">
        <f t="shared" si="10"/>
        <v>8.2900551595109846</v>
      </c>
      <c r="K32" s="18">
        <f t="shared" si="10"/>
        <v>76.12335085964969</v>
      </c>
      <c r="L32" s="18">
        <f t="shared" si="10"/>
        <v>3.2257023966968811E-3</v>
      </c>
      <c r="M32" s="18">
        <f t="shared" si="10"/>
        <v>0</v>
      </c>
      <c r="N32" s="18">
        <f t="shared" si="10"/>
        <v>5.8062643140543851E-2</v>
      </c>
      <c r="O32" s="18">
        <f t="shared" si="10"/>
        <v>1.2902809586787524E-2</v>
      </c>
    </row>
    <row r="33" spans="1:16" x14ac:dyDescent="0.2">
      <c r="A33" s="16" t="s">
        <v>9</v>
      </c>
      <c r="B33" s="12">
        <f t="shared" si="2"/>
        <v>100</v>
      </c>
      <c r="C33" s="19">
        <f t="shared" si="3"/>
        <v>27.695445708640086</v>
      </c>
      <c r="D33" s="18">
        <f t="shared" ref="D33:O33" si="11">D13/$B$13*100</f>
        <v>0</v>
      </c>
      <c r="E33" s="18">
        <f t="shared" si="11"/>
        <v>0</v>
      </c>
      <c r="F33" s="18">
        <f t="shared" si="11"/>
        <v>9.5611435127641257E-3</v>
      </c>
      <c r="G33" s="18">
        <f t="shared" si="11"/>
        <v>9.5611435127641257E-3</v>
      </c>
      <c r="H33" s="18">
        <f t="shared" si="11"/>
        <v>0.32189183159639223</v>
      </c>
      <c r="I33" s="18">
        <f t="shared" si="11"/>
        <v>0.10198553080281736</v>
      </c>
      <c r="J33" s="18">
        <f t="shared" si="11"/>
        <v>3.2093571724511585</v>
      </c>
      <c r="K33" s="18">
        <f t="shared" si="11"/>
        <v>23.92835516461102</v>
      </c>
      <c r="L33" s="18">
        <f t="shared" si="11"/>
        <v>0</v>
      </c>
      <c r="M33" s="18">
        <f t="shared" si="11"/>
        <v>0</v>
      </c>
      <c r="N33" s="18">
        <f t="shared" si="11"/>
        <v>9.879848296522932E-2</v>
      </c>
      <c r="O33" s="18">
        <f t="shared" si="11"/>
        <v>1.5935239187940212E-2</v>
      </c>
    </row>
    <row r="34" spans="1:16" x14ac:dyDescent="0.2">
      <c r="A34" s="16" t="s">
        <v>56</v>
      </c>
      <c r="B34" s="12">
        <f t="shared" si="2"/>
        <v>100</v>
      </c>
      <c r="C34" s="19">
        <f t="shared" si="3"/>
        <v>75.030750307503084</v>
      </c>
      <c r="D34" s="18">
        <f t="shared" ref="D34:O34" si="12">D14/$B$14*100</f>
        <v>0</v>
      </c>
      <c r="E34" s="18">
        <f t="shared" si="12"/>
        <v>0</v>
      </c>
      <c r="F34" s="18">
        <f t="shared" si="12"/>
        <v>0.36900369003690037</v>
      </c>
      <c r="G34" s="18">
        <f t="shared" si="12"/>
        <v>0.24600246002460024</v>
      </c>
      <c r="H34" s="18">
        <f t="shared" si="12"/>
        <v>3.3210332103321036</v>
      </c>
      <c r="I34" s="18">
        <f t="shared" si="12"/>
        <v>0.12300123001230012</v>
      </c>
      <c r="J34" s="18">
        <f t="shared" si="12"/>
        <v>0.12300123001230012</v>
      </c>
      <c r="K34" s="18">
        <f t="shared" si="12"/>
        <v>0</v>
      </c>
      <c r="L34" s="18">
        <f t="shared" si="12"/>
        <v>11.193111931119311</v>
      </c>
      <c r="M34" s="18">
        <f t="shared" si="12"/>
        <v>57.933579335793361</v>
      </c>
      <c r="N34" s="18">
        <f t="shared" si="12"/>
        <v>1.7220172201722017</v>
      </c>
      <c r="O34" s="18">
        <f t="shared" si="12"/>
        <v>0</v>
      </c>
    </row>
    <row r="35" spans="1:16" x14ac:dyDescent="0.2">
      <c r="A35" s="16" t="s">
        <v>10</v>
      </c>
      <c r="B35" s="12">
        <f t="shared" si="2"/>
        <v>100</v>
      </c>
      <c r="C35" s="19">
        <f t="shared" si="3"/>
        <v>69.375</v>
      </c>
      <c r="D35" s="18">
        <f t="shared" ref="D35:O35" si="13">D15/$B$15*100</f>
        <v>0</v>
      </c>
      <c r="E35" s="18">
        <f t="shared" si="13"/>
        <v>0</v>
      </c>
      <c r="F35" s="18">
        <f t="shared" si="13"/>
        <v>0.3125</v>
      </c>
      <c r="G35" s="18">
        <f t="shared" si="13"/>
        <v>0.15625</v>
      </c>
      <c r="H35" s="18">
        <f t="shared" si="13"/>
        <v>1.5625</v>
      </c>
      <c r="I35" s="18">
        <f t="shared" si="13"/>
        <v>0</v>
      </c>
      <c r="J35" s="18">
        <f t="shared" si="13"/>
        <v>1.09375</v>
      </c>
      <c r="K35" s="18">
        <f t="shared" si="13"/>
        <v>0</v>
      </c>
      <c r="L35" s="18">
        <f t="shared" si="13"/>
        <v>0.3125</v>
      </c>
      <c r="M35" s="18">
        <f t="shared" si="13"/>
        <v>27.968749999999996</v>
      </c>
      <c r="N35" s="18">
        <f t="shared" si="13"/>
        <v>36.875</v>
      </c>
      <c r="O35" s="18">
        <f t="shared" si="13"/>
        <v>1.09375</v>
      </c>
    </row>
    <row r="36" spans="1:16" x14ac:dyDescent="0.2">
      <c r="A36" s="16" t="s">
        <v>57</v>
      </c>
      <c r="B36" s="12">
        <f t="shared" si="2"/>
        <v>100</v>
      </c>
      <c r="C36" s="19">
        <f t="shared" si="3"/>
        <v>76.460859977949283</v>
      </c>
      <c r="D36" s="18">
        <f t="shared" ref="D36:O36" si="14">D16/$B$16*100</f>
        <v>0</v>
      </c>
      <c r="E36" s="18">
        <f t="shared" si="14"/>
        <v>0</v>
      </c>
      <c r="F36" s="18">
        <f t="shared" si="14"/>
        <v>5.5126791620727672E-2</v>
      </c>
      <c r="G36" s="18">
        <f t="shared" si="14"/>
        <v>5.5126791620727672E-2</v>
      </c>
      <c r="H36" s="18">
        <f t="shared" si="14"/>
        <v>0.16538037486218302</v>
      </c>
      <c r="I36" s="18">
        <f t="shared" si="14"/>
        <v>0</v>
      </c>
      <c r="J36" s="18">
        <f t="shared" si="14"/>
        <v>1.8743109151047408</v>
      </c>
      <c r="K36" s="18">
        <f t="shared" si="14"/>
        <v>0.11025358324145534</v>
      </c>
      <c r="L36" s="18">
        <f t="shared" si="14"/>
        <v>5.5126791620727672E-2</v>
      </c>
      <c r="M36" s="18">
        <f t="shared" si="14"/>
        <v>5.5126791620727672E-2</v>
      </c>
      <c r="N36" s="18">
        <f t="shared" si="14"/>
        <v>10.694597574421168</v>
      </c>
      <c r="O36" s="18">
        <f t="shared" si="14"/>
        <v>63.395810363836823</v>
      </c>
    </row>
    <row r="37" spans="1:16" x14ac:dyDescent="0.2">
      <c r="A37" s="16" t="s">
        <v>11</v>
      </c>
      <c r="B37" s="12">
        <f t="shared" si="2"/>
        <v>100</v>
      </c>
      <c r="C37" s="19">
        <f t="shared" si="3"/>
        <v>42.483324781939451</v>
      </c>
      <c r="D37" s="18">
        <f t="shared" ref="D37:O37" si="15">D17/$B$17*100</f>
        <v>0</v>
      </c>
      <c r="E37" s="18">
        <f t="shared" si="15"/>
        <v>0</v>
      </c>
      <c r="F37" s="18">
        <f t="shared" si="15"/>
        <v>0</v>
      </c>
      <c r="G37" s="18">
        <f t="shared" si="15"/>
        <v>0</v>
      </c>
      <c r="H37" s="18">
        <f t="shared" si="15"/>
        <v>0.25654181631605949</v>
      </c>
      <c r="I37" s="18">
        <f t="shared" si="15"/>
        <v>5.1308363263211899E-2</v>
      </c>
      <c r="J37" s="18">
        <f t="shared" si="15"/>
        <v>1.6418676244227808</v>
      </c>
      <c r="K37" s="18">
        <f t="shared" si="15"/>
        <v>0.30785017957927141</v>
      </c>
      <c r="L37" s="18">
        <f t="shared" si="15"/>
        <v>0.1026167265264238</v>
      </c>
      <c r="M37" s="18">
        <f t="shared" si="15"/>
        <v>0.15392508978963571</v>
      </c>
      <c r="N37" s="18">
        <f t="shared" si="15"/>
        <v>3.745510518214469</v>
      </c>
      <c r="O37" s="18">
        <f t="shared" si="15"/>
        <v>36.223704463827602</v>
      </c>
    </row>
    <row r="38" spans="1:16" ht="15" thickBot="1" x14ac:dyDescent="0.25">
      <c r="A38" s="25" t="s">
        <v>13</v>
      </c>
      <c r="B38" s="28">
        <f t="shared" si="2"/>
        <v>100</v>
      </c>
      <c r="C38" s="29">
        <f t="shared" si="3"/>
        <v>74.3738450979357</v>
      </c>
      <c r="D38" s="29">
        <f t="shared" ref="D38:O38" si="16">D18/$B$18*100</f>
        <v>0.87007021804550977</v>
      </c>
      <c r="E38" s="29">
        <f t="shared" si="16"/>
        <v>20.142019956707671</v>
      </c>
      <c r="F38" s="29">
        <f t="shared" si="16"/>
        <v>12.927247769389155</v>
      </c>
      <c r="G38" s="29">
        <f t="shared" si="16"/>
        <v>11.338894461749643</v>
      </c>
      <c r="H38" s="29">
        <f t="shared" si="16"/>
        <v>7.8533340372736387</v>
      </c>
      <c r="I38" s="29">
        <f t="shared" si="16"/>
        <v>6.3700438202840397</v>
      </c>
      <c r="J38" s="29">
        <f t="shared" si="16"/>
        <v>5.4857188110448236</v>
      </c>
      <c r="K38" s="29">
        <f t="shared" si="16"/>
        <v>8.2791299297819538</v>
      </c>
      <c r="L38" s="29">
        <f t="shared" si="16"/>
        <v>0.16709783010400719</v>
      </c>
      <c r="M38" s="29">
        <f t="shared" si="16"/>
        <v>0.17343329285676576</v>
      </c>
      <c r="N38" s="29">
        <f t="shared" si="16"/>
        <v>0.27242489836861838</v>
      </c>
      <c r="O38" s="29">
        <f t="shared" si="16"/>
        <v>0.49443007232986647</v>
      </c>
    </row>
    <row r="39" spans="1:16" x14ac:dyDescent="0.2">
      <c r="A39" s="7" t="s">
        <v>47</v>
      </c>
      <c r="B39" s="7"/>
      <c r="P39" s="20"/>
    </row>
    <row r="40" spans="1:16" x14ac:dyDescent="0.2">
      <c r="A40" s="7"/>
      <c r="B40" s="7"/>
    </row>
    <row r="41" spans="1:16" ht="21" customHeight="1" x14ac:dyDescent="0.25">
      <c r="A41" s="65" t="s">
        <v>46</v>
      </c>
      <c r="B41" s="64" t="s">
        <v>29</v>
      </c>
      <c r="C41" s="3"/>
      <c r="D41" s="3"/>
      <c r="E41" s="3"/>
    </row>
    <row r="42" spans="1:16" ht="16.5" customHeight="1" thickBot="1" x14ac:dyDescent="0.55000000000000004">
      <c r="A42" s="56"/>
      <c r="B42" s="10" t="s">
        <v>26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17"/>
      <c r="O42" s="21" t="s">
        <v>3</v>
      </c>
    </row>
    <row r="43" spans="1:16" ht="34.5" customHeight="1" x14ac:dyDescent="0.2">
      <c r="A43" s="74" t="s">
        <v>66</v>
      </c>
      <c r="B43" s="58"/>
      <c r="C43" s="55"/>
      <c r="D43" s="55"/>
      <c r="E43" s="55"/>
      <c r="F43" s="55"/>
      <c r="G43" s="55"/>
      <c r="H43" s="63" t="s">
        <v>30</v>
      </c>
      <c r="I43" s="55"/>
      <c r="J43" s="55"/>
      <c r="K43" s="55"/>
      <c r="L43" s="55"/>
      <c r="M43" s="55"/>
      <c r="N43" s="55"/>
      <c r="O43" s="55"/>
    </row>
    <row r="44" spans="1:16" ht="43.5" customHeight="1" x14ac:dyDescent="0.2">
      <c r="A44" s="72" t="s">
        <v>69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54</v>
      </c>
      <c r="I44" s="24" t="s">
        <v>8</v>
      </c>
      <c r="J44" s="24" t="s">
        <v>55</v>
      </c>
      <c r="K44" s="24" t="s">
        <v>9</v>
      </c>
      <c r="L44" s="24" t="s">
        <v>56</v>
      </c>
      <c r="M44" s="24" t="s">
        <v>10</v>
      </c>
      <c r="N44" s="24" t="s">
        <v>57</v>
      </c>
      <c r="O44" s="24" t="s">
        <v>11</v>
      </c>
    </row>
    <row r="45" spans="1:16" ht="14.25" customHeight="1" x14ac:dyDescent="0.25">
      <c r="A45" s="16" t="s">
        <v>51</v>
      </c>
      <c r="B45" s="22"/>
      <c r="C45" s="19">
        <f t="shared" ref="C45:C56" si="17">C6/$C$18*100</f>
        <v>27.198191259410169</v>
      </c>
      <c r="D45" s="18">
        <f t="shared" ref="D45:D57" si="18">D6/$D$18*100</f>
        <v>100</v>
      </c>
      <c r="E45" s="18">
        <f t="shared" ref="E45:E57" si="19">E6/$E$18*100</f>
        <v>96.108883122329686</v>
      </c>
      <c r="F45" s="18">
        <f t="shared" ref="F45:F57" si="20">F6/$F$18*100</f>
        <v>0</v>
      </c>
      <c r="G45" s="18">
        <f t="shared" ref="G45:G57" si="21">G6/$G$18*100</f>
        <v>0</v>
      </c>
      <c r="H45" s="18">
        <f t="shared" ref="H45:H57" si="22">H6/$H$18*100</f>
        <v>0</v>
      </c>
      <c r="I45" s="18">
        <f t="shared" ref="I45:I57" si="23">I6/$I$18*100</f>
        <v>0</v>
      </c>
      <c r="J45" s="18">
        <f t="shared" ref="J45:J57" si="24">J6/$J$18*100</f>
        <v>0</v>
      </c>
      <c r="K45" s="18">
        <f t="shared" ref="K45:K57" si="25">K6/$K$18*100</f>
        <v>0</v>
      </c>
      <c r="L45" s="18">
        <f t="shared" ref="L45:L57" si="26">L6/$L$18*100</f>
        <v>0</v>
      </c>
      <c r="M45" s="18">
        <f t="shared" ref="M45:M57" si="27">M6/$M$18*100</f>
        <v>0</v>
      </c>
      <c r="N45" s="18">
        <f t="shared" ref="N45:N57" si="28">N6/$N$18*100</f>
        <v>0</v>
      </c>
      <c r="O45" s="18">
        <f t="shared" ref="O45:O57" si="29">O6/$O$18*100</f>
        <v>0</v>
      </c>
    </row>
    <row r="46" spans="1:16" ht="15" x14ac:dyDescent="0.25">
      <c r="A46" s="16" t="s">
        <v>52</v>
      </c>
      <c r="B46" s="22"/>
      <c r="C46" s="19">
        <f t="shared" si="17"/>
        <v>23.510078333800664</v>
      </c>
      <c r="D46" s="18">
        <f t="shared" si="18"/>
        <v>0</v>
      </c>
      <c r="E46" s="18">
        <f t="shared" si="19"/>
        <v>3.8871851327619193</v>
      </c>
      <c r="F46" s="18">
        <f t="shared" si="20"/>
        <v>92.624206162831072</v>
      </c>
      <c r="G46" s="18">
        <f t="shared" si="21"/>
        <v>0</v>
      </c>
      <c r="H46" s="18">
        <f t="shared" si="22"/>
        <v>58.870588235294122</v>
      </c>
      <c r="I46" s="18">
        <f t="shared" si="23"/>
        <v>0</v>
      </c>
      <c r="J46" s="18">
        <f t="shared" si="24"/>
        <v>0</v>
      </c>
      <c r="K46" s="18">
        <f t="shared" si="25"/>
        <v>0</v>
      </c>
      <c r="L46" s="18">
        <f t="shared" si="26"/>
        <v>63.033175355450233</v>
      </c>
      <c r="M46" s="18">
        <f t="shared" si="27"/>
        <v>0</v>
      </c>
      <c r="N46" s="18">
        <f t="shared" si="28"/>
        <v>0</v>
      </c>
      <c r="O46" s="18">
        <f t="shared" si="29"/>
        <v>0</v>
      </c>
    </row>
    <row r="47" spans="1:16" ht="15" x14ac:dyDescent="0.25">
      <c r="A47" s="16" t="s">
        <v>53</v>
      </c>
      <c r="B47" s="22"/>
      <c r="C47" s="19">
        <f t="shared" si="17"/>
        <v>16.384435460685804</v>
      </c>
      <c r="D47" s="18">
        <f t="shared" si="18"/>
        <v>0</v>
      </c>
      <c r="E47" s="18">
        <f t="shared" si="19"/>
        <v>2.6211632722602293E-3</v>
      </c>
      <c r="F47" s="18">
        <f t="shared" si="20"/>
        <v>6.7039676543260294</v>
      </c>
      <c r="G47" s="18">
        <f t="shared" si="21"/>
        <v>91.10210923313312</v>
      </c>
      <c r="H47" s="18">
        <f t="shared" si="22"/>
        <v>11.727731092436974</v>
      </c>
      <c r="I47" s="18">
        <f t="shared" si="23"/>
        <v>0.4599892254776014</v>
      </c>
      <c r="J47" s="18">
        <f t="shared" si="24"/>
        <v>0.24060439824839996</v>
      </c>
      <c r="K47" s="18">
        <f t="shared" si="25"/>
        <v>0</v>
      </c>
      <c r="L47" s="18">
        <f t="shared" si="26"/>
        <v>14.218009478672986</v>
      </c>
      <c r="M47" s="18">
        <f t="shared" si="27"/>
        <v>0.15220700152207001</v>
      </c>
      <c r="N47" s="18">
        <f t="shared" si="28"/>
        <v>0.38759689922480622</v>
      </c>
      <c r="O47" s="18">
        <f t="shared" si="29"/>
        <v>0</v>
      </c>
    </row>
    <row r="48" spans="1:16" ht="15" x14ac:dyDescent="0.25">
      <c r="A48" s="16" t="s">
        <v>0</v>
      </c>
      <c r="B48" s="22"/>
      <c r="C48" s="19">
        <f t="shared" si="17"/>
        <v>4.0923820645055953</v>
      </c>
      <c r="D48" s="18">
        <f t="shared" si="18"/>
        <v>0</v>
      </c>
      <c r="E48" s="18">
        <f t="shared" si="19"/>
        <v>0</v>
      </c>
      <c r="F48" s="18">
        <f t="shared" si="20"/>
        <v>1.4294174103040574E-2</v>
      </c>
      <c r="G48" s="18">
        <f t="shared" si="21"/>
        <v>8.776831028542162</v>
      </c>
      <c r="H48" s="18">
        <f t="shared" si="22"/>
        <v>1.1865546218487395</v>
      </c>
      <c r="I48" s="18">
        <f t="shared" si="23"/>
        <v>7.4592847374746182E-2</v>
      </c>
      <c r="J48" s="18">
        <f t="shared" si="24"/>
        <v>33.299648717578556</v>
      </c>
      <c r="K48" s="18">
        <f t="shared" si="25"/>
        <v>4.4638586869878517E-2</v>
      </c>
      <c r="L48" s="18">
        <f t="shared" si="26"/>
        <v>1.2638230647709321</v>
      </c>
      <c r="M48" s="18">
        <f t="shared" si="27"/>
        <v>0</v>
      </c>
      <c r="N48" s="18">
        <f t="shared" si="28"/>
        <v>42.63565891472868</v>
      </c>
      <c r="O48" s="18">
        <f t="shared" si="29"/>
        <v>0</v>
      </c>
    </row>
    <row r="49" spans="1:15" ht="15" x14ac:dyDescent="0.25">
      <c r="A49" s="16" t="s">
        <v>54</v>
      </c>
      <c r="B49" s="22"/>
      <c r="C49" s="19">
        <f t="shared" si="17"/>
        <v>9.814263353481719</v>
      </c>
      <c r="D49" s="18">
        <f t="shared" si="18"/>
        <v>0</v>
      </c>
      <c r="E49" s="18">
        <f t="shared" si="19"/>
        <v>1.3105816361301146E-3</v>
      </c>
      <c r="F49" s="18">
        <f t="shared" si="20"/>
        <v>0.48395989463151667</v>
      </c>
      <c r="G49" s="18">
        <f t="shared" si="21"/>
        <v>6.9842156725799687E-2</v>
      </c>
      <c r="H49" s="18">
        <f t="shared" si="22"/>
        <v>25.132773109243701</v>
      </c>
      <c r="I49" s="18">
        <f t="shared" si="23"/>
        <v>71.683726327131083</v>
      </c>
      <c r="J49" s="18">
        <f t="shared" si="24"/>
        <v>11.972474856840384</v>
      </c>
      <c r="K49" s="18">
        <f t="shared" si="25"/>
        <v>0.28377387367279916</v>
      </c>
      <c r="L49" s="18">
        <f t="shared" si="26"/>
        <v>4.1074249605055293</v>
      </c>
      <c r="M49" s="18">
        <f t="shared" si="27"/>
        <v>0.15220700152207001</v>
      </c>
      <c r="N49" s="18">
        <f t="shared" si="28"/>
        <v>0.29069767441860467</v>
      </c>
      <c r="O49" s="18">
        <f t="shared" si="29"/>
        <v>5.3390282968499729E-2</v>
      </c>
    </row>
    <row r="50" spans="1:15" ht="15" x14ac:dyDescent="0.25">
      <c r="A50" s="16" t="s">
        <v>8</v>
      </c>
      <c r="B50" s="22"/>
      <c r="C50" s="19">
        <f t="shared" si="17"/>
        <v>5.4120244336150325</v>
      </c>
      <c r="D50" s="18">
        <f t="shared" si="18"/>
        <v>0</v>
      </c>
      <c r="E50" s="18">
        <f t="shared" si="19"/>
        <v>0</v>
      </c>
      <c r="F50" s="18">
        <f t="shared" si="20"/>
        <v>0.13885769128667988</v>
      </c>
      <c r="G50" s="18">
        <f t="shared" si="21"/>
        <v>2.7936862690319877E-2</v>
      </c>
      <c r="H50" s="18">
        <f t="shared" si="22"/>
        <v>2.2554621848739496</v>
      </c>
      <c r="I50" s="18">
        <f t="shared" si="23"/>
        <v>27.545480916663212</v>
      </c>
      <c r="J50" s="18">
        <f t="shared" si="24"/>
        <v>36.918338867234489</v>
      </c>
      <c r="K50" s="18">
        <f t="shared" si="25"/>
        <v>0.46232822115231326</v>
      </c>
      <c r="L50" s="18">
        <f t="shared" si="26"/>
        <v>2.0537124802527646</v>
      </c>
      <c r="M50" s="18">
        <f t="shared" si="27"/>
        <v>0.15220700152207001</v>
      </c>
      <c r="N50" s="18">
        <f t="shared" si="28"/>
        <v>1.8410852713178296</v>
      </c>
      <c r="O50" s="18">
        <f t="shared" si="29"/>
        <v>0</v>
      </c>
    </row>
    <row r="51" spans="1:15" ht="15" x14ac:dyDescent="0.25">
      <c r="A51" s="16" t="s">
        <v>55</v>
      </c>
      <c r="B51" s="22"/>
      <c r="C51" s="19">
        <f t="shared" si="17"/>
        <v>9.3439766027904874</v>
      </c>
      <c r="D51" s="18">
        <f t="shared" si="18"/>
        <v>0</v>
      </c>
      <c r="E51" s="18">
        <f t="shared" si="19"/>
        <v>0</v>
      </c>
      <c r="F51" s="18">
        <f t="shared" si="20"/>
        <v>1.6336198974903515E-2</v>
      </c>
      <c r="G51" s="18">
        <f t="shared" si="21"/>
        <v>6.9842156725799694E-3</v>
      </c>
      <c r="H51" s="18">
        <f t="shared" si="22"/>
        <v>0.33613445378151263</v>
      </c>
      <c r="I51" s="18">
        <f t="shared" si="23"/>
        <v>9.5313082756620121E-2</v>
      </c>
      <c r="J51" s="18">
        <f t="shared" si="24"/>
        <v>12.367066069967759</v>
      </c>
      <c r="K51" s="18">
        <f t="shared" si="25"/>
        <v>75.24471511016165</v>
      </c>
      <c r="L51" s="18">
        <f t="shared" si="26"/>
        <v>0.15797788309636651</v>
      </c>
      <c r="M51" s="18">
        <f t="shared" si="27"/>
        <v>0</v>
      </c>
      <c r="N51" s="18">
        <f t="shared" si="28"/>
        <v>1.7441860465116279</v>
      </c>
      <c r="O51" s="18">
        <f t="shared" si="29"/>
        <v>0.21356113187399892</v>
      </c>
    </row>
    <row r="52" spans="1:15" ht="15" x14ac:dyDescent="0.25">
      <c r="A52" s="16" t="s">
        <v>9</v>
      </c>
      <c r="B52" s="22"/>
      <c r="C52" s="19">
        <f t="shared" si="17"/>
        <v>3.084371217740991</v>
      </c>
      <c r="D52" s="18">
        <f t="shared" si="18"/>
        <v>0</v>
      </c>
      <c r="E52" s="18">
        <f t="shared" si="19"/>
        <v>0</v>
      </c>
      <c r="F52" s="18">
        <f t="shared" si="20"/>
        <v>6.1260746155888182E-3</v>
      </c>
      <c r="G52" s="18">
        <f t="shared" si="21"/>
        <v>6.9842156725799694E-3</v>
      </c>
      <c r="H52" s="18">
        <f t="shared" si="22"/>
        <v>0.33949579831932775</v>
      </c>
      <c r="I52" s="18">
        <f t="shared" si="23"/>
        <v>0.13260950644399322</v>
      </c>
      <c r="J52" s="18">
        <f t="shared" si="24"/>
        <v>4.8457725807227758</v>
      </c>
      <c r="K52" s="18">
        <f t="shared" si="25"/>
        <v>23.939036444217709</v>
      </c>
      <c r="L52" s="18">
        <f t="shared" si="26"/>
        <v>0</v>
      </c>
      <c r="M52" s="18">
        <f t="shared" si="27"/>
        <v>0</v>
      </c>
      <c r="N52" s="18">
        <f t="shared" si="28"/>
        <v>3.0038759689922481</v>
      </c>
      <c r="O52" s="18">
        <f t="shared" si="29"/>
        <v>0.26695141484249868</v>
      </c>
    </row>
    <row r="53" spans="1:15" ht="15" x14ac:dyDescent="0.25">
      <c r="A53" s="16" t="s">
        <v>56</v>
      </c>
      <c r="B53" s="22"/>
      <c r="C53" s="19">
        <f t="shared" si="17"/>
        <v>0.21650937201634113</v>
      </c>
      <c r="D53" s="18">
        <f t="shared" si="18"/>
        <v>0</v>
      </c>
      <c r="E53" s="18">
        <f t="shared" si="19"/>
        <v>0</v>
      </c>
      <c r="F53" s="18">
        <f t="shared" si="20"/>
        <v>6.1260746155888182E-3</v>
      </c>
      <c r="G53" s="18">
        <f t="shared" si="21"/>
        <v>4.6561437817199793E-3</v>
      </c>
      <c r="H53" s="18">
        <f t="shared" si="22"/>
        <v>9.07563025210084E-2</v>
      </c>
      <c r="I53" s="18">
        <f t="shared" si="23"/>
        <v>4.1440470763747881E-3</v>
      </c>
      <c r="J53" s="18">
        <f t="shared" si="24"/>
        <v>4.8120879649679992E-3</v>
      </c>
      <c r="K53" s="18">
        <f t="shared" si="25"/>
        <v>0</v>
      </c>
      <c r="L53" s="18">
        <f t="shared" si="26"/>
        <v>14.375987361769353</v>
      </c>
      <c r="M53" s="18">
        <f t="shared" si="27"/>
        <v>71.689497716894977</v>
      </c>
      <c r="N53" s="18">
        <f t="shared" si="28"/>
        <v>1.3565891472868217</v>
      </c>
      <c r="O53" s="18">
        <f t="shared" si="29"/>
        <v>0</v>
      </c>
    </row>
    <row r="54" spans="1:15" ht="15" x14ac:dyDescent="0.25">
      <c r="A54" s="16" t="s">
        <v>10</v>
      </c>
      <c r="B54" s="22"/>
      <c r="C54" s="19">
        <f t="shared" si="17"/>
        <v>0.15759042815615651</v>
      </c>
      <c r="D54" s="18">
        <f t="shared" si="18"/>
        <v>0</v>
      </c>
      <c r="E54" s="18">
        <f t="shared" si="19"/>
        <v>0</v>
      </c>
      <c r="F54" s="18">
        <f t="shared" si="20"/>
        <v>4.0840497437258788E-3</v>
      </c>
      <c r="G54" s="18">
        <f t="shared" si="21"/>
        <v>2.3280718908599896E-3</v>
      </c>
      <c r="H54" s="18">
        <f t="shared" si="22"/>
        <v>3.3613445378151259E-2</v>
      </c>
      <c r="I54" s="18">
        <f t="shared" si="23"/>
        <v>0</v>
      </c>
      <c r="J54" s="18">
        <f t="shared" si="24"/>
        <v>3.3684615754775993E-2</v>
      </c>
      <c r="K54" s="18">
        <f t="shared" si="25"/>
        <v>0</v>
      </c>
      <c r="L54" s="18">
        <f t="shared" si="26"/>
        <v>0.31595576619273302</v>
      </c>
      <c r="M54" s="18">
        <f t="shared" si="27"/>
        <v>27.24505327245053</v>
      </c>
      <c r="N54" s="18">
        <f t="shared" si="28"/>
        <v>22.868217054263564</v>
      </c>
      <c r="O54" s="18">
        <f t="shared" si="29"/>
        <v>0.37373198077949815</v>
      </c>
    </row>
    <row r="55" spans="1:15" ht="15" x14ac:dyDescent="0.25">
      <c r="A55" s="16" t="s">
        <v>57</v>
      </c>
      <c r="B55" s="22"/>
      <c r="C55" s="19">
        <f t="shared" si="17"/>
        <v>0.49229262128961498</v>
      </c>
      <c r="D55" s="18">
        <f t="shared" si="18"/>
        <v>0</v>
      </c>
      <c r="E55" s="18">
        <f t="shared" si="19"/>
        <v>0</v>
      </c>
      <c r="F55" s="18">
        <f t="shared" si="20"/>
        <v>2.0420248718629394E-3</v>
      </c>
      <c r="G55" s="18">
        <f t="shared" si="21"/>
        <v>2.3280718908599896E-3</v>
      </c>
      <c r="H55" s="18">
        <f t="shared" si="22"/>
        <v>1.0084033613445379E-2</v>
      </c>
      <c r="I55" s="18">
        <f t="shared" si="23"/>
        <v>0</v>
      </c>
      <c r="J55" s="18">
        <f t="shared" si="24"/>
        <v>0.163610990808912</v>
      </c>
      <c r="K55" s="18">
        <f t="shared" si="25"/>
        <v>6.3769409814112173E-3</v>
      </c>
      <c r="L55" s="18">
        <f t="shared" si="26"/>
        <v>0.15797788309636651</v>
      </c>
      <c r="M55" s="18">
        <f t="shared" si="27"/>
        <v>0.15220700152207001</v>
      </c>
      <c r="N55" s="18">
        <f t="shared" si="28"/>
        <v>18.7984496124031</v>
      </c>
      <c r="O55" s="18">
        <f t="shared" si="29"/>
        <v>61.398825413774695</v>
      </c>
    </row>
    <row r="56" spans="1:15" ht="15" x14ac:dyDescent="0.25">
      <c r="A56" s="16" t="s">
        <v>11</v>
      </c>
      <c r="B56" s="22"/>
      <c r="C56" s="19">
        <f t="shared" si="17"/>
        <v>0.29388485250742696</v>
      </c>
      <c r="D56" s="18">
        <f t="shared" si="18"/>
        <v>0</v>
      </c>
      <c r="E56" s="18">
        <f t="shared" si="19"/>
        <v>0</v>
      </c>
      <c r="F56" s="18">
        <f t="shared" si="20"/>
        <v>0</v>
      </c>
      <c r="G56" s="18">
        <f t="shared" si="21"/>
        <v>0</v>
      </c>
      <c r="H56" s="18">
        <f t="shared" si="22"/>
        <v>1.680672268907563E-2</v>
      </c>
      <c r="I56" s="18">
        <f t="shared" si="23"/>
        <v>4.1440470763747881E-3</v>
      </c>
      <c r="J56" s="18">
        <f t="shared" si="24"/>
        <v>0.15398681487897597</v>
      </c>
      <c r="K56" s="18">
        <f t="shared" si="25"/>
        <v>1.9130822944233648E-2</v>
      </c>
      <c r="L56" s="18">
        <f t="shared" si="26"/>
        <v>0.31595576619273302</v>
      </c>
      <c r="M56" s="18">
        <f t="shared" si="27"/>
        <v>0.45662100456621002</v>
      </c>
      <c r="N56" s="18">
        <f t="shared" si="28"/>
        <v>7.0736434108527133</v>
      </c>
      <c r="O56" s="18">
        <f t="shared" si="29"/>
        <v>37.693539775760811</v>
      </c>
    </row>
    <row r="57" spans="1:15" ht="15.75" thickBot="1" x14ac:dyDescent="0.3">
      <c r="A57" s="25" t="s">
        <v>13</v>
      </c>
      <c r="B57" s="26"/>
      <c r="C57" s="27">
        <f>C18/C18*100</f>
        <v>100</v>
      </c>
      <c r="D57" s="27">
        <f t="shared" si="18"/>
        <v>100</v>
      </c>
      <c r="E57" s="27">
        <f t="shared" si="19"/>
        <v>100</v>
      </c>
      <c r="F57" s="27">
        <f t="shared" si="20"/>
        <v>100</v>
      </c>
      <c r="G57" s="27">
        <f t="shared" si="21"/>
        <v>100</v>
      </c>
      <c r="H57" s="27">
        <f t="shared" si="22"/>
        <v>100</v>
      </c>
      <c r="I57" s="27">
        <f t="shared" si="23"/>
        <v>100</v>
      </c>
      <c r="J57" s="27">
        <f t="shared" si="24"/>
        <v>100</v>
      </c>
      <c r="K57" s="27">
        <f t="shared" si="25"/>
        <v>100</v>
      </c>
      <c r="L57" s="27">
        <f t="shared" si="26"/>
        <v>100</v>
      </c>
      <c r="M57" s="27">
        <f t="shared" si="27"/>
        <v>100</v>
      </c>
      <c r="N57" s="27">
        <f t="shared" si="28"/>
        <v>100</v>
      </c>
      <c r="O57" s="27">
        <f t="shared" si="29"/>
        <v>100</v>
      </c>
    </row>
    <row r="58" spans="1:15" x14ac:dyDescent="0.2">
      <c r="A58" s="7" t="s">
        <v>47</v>
      </c>
      <c r="B58" s="7"/>
    </row>
    <row r="59" spans="1:15" x14ac:dyDescent="0.2">
      <c r="A59" s="7"/>
      <c r="B59" s="7"/>
    </row>
    <row r="60" spans="1:15" x14ac:dyDescent="0.2">
      <c r="A60" s="7"/>
      <c r="B60" s="7"/>
    </row>
    <row r="61" spans="1:15" x14ac:dyDescent="0.2">
      <c r="A61" s="7"/>
      <c r="B61" s="7"/>
    </row>
    <row r="62" spans="1:15" x14ac:dyDescent="0.2">
      <c r="A62" s="7"/>
      <c r="B62" s="7"/>
    </row>
    <row r="63" spans="1:15" x14ac:dyDescent="0.2">
      <c r="A63" s="7"/>
      <c r="B63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3"/>
  <sheetViews>
    <sheetView showGridLines="0" workbookViewId="0">
      <selection activeCell="B43" sqref="B43"/>
    </sheetView>
  </sheetViews>
  <sheetFormatPr defaultColWidth="9.140625" defaultRowHeight="14.25" x14ac:dyDescent="0.2"/>
  <cols>
    <col min="1" max="1" width="11.42578125" style="2" customWidth="1"/>
    <col min="2" max="15" width="12.140625" style="2" customWidth="1"/>
    <col min="16" max="16" width="12.5703125" style="2" customWidth="1"/>
    <col min="17" max="16384" width="9.140625" style="2"/>
  </cols>
  <sheetData>
    <row r="1" spans="1:15" ht="33.75" customHeight="1" x14ac:dyDescent="0.2"/>
    <row r="2" spans="1:15" ht="18.75" customHeight="1" x14ac:dyDescent="0.25">
      <c r="A2" s="65" t="s">
        <v>44</v>
      </c>
      <c r="B2" s="60" t="s">
        <v>32</v>
      </c>
      <c r="C2" s="3"/>
      <c r="D2" s="3"/>
      <c r="E2" s="3"/>
    </row>
    <row r="3" spans="1:15" ht="16.5" customHeight="1" thickBot="1" x14ac:dyDescent="0.55000000000000004">
      <c r="A3" s="52"/>
      <c r="B3" s="10" t="s">
        <v>34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17"/>
      <c r="O3" s="6" t="s">
        <v>2</v>
      </c>
    </row>
    <row r="4" spans="1:15" ht="32.25" customHeight="1" x14ac:dyDescent="0.2">
      <c r="A4" s="74" t="s">
        <v>64</v>
      </c>
      <c r="B4" s="74"/>
      <c r="C4" s="55"/>
      <c r="D4" s="55"/>
      <c r="E4" s="55"/>
      <c r="F4" s="55"/>
      <c r="G4" s="55"/>
      <c r="H4" s="63" t="s">
        <v>50</v>
      </c>
      <c r="I4" s="55"/>
      <c r="J4" s="55"/>
      <c r="K4" s="55"/>
      <c r="L4" s="55"/>
      <c r="M4" s="55"/>
      <c r="N4" s="55"/>
      <c r="O4" s="55"/>
    </row>
    <row r="5" spans="1:15" ht="43.5" customHeight="1" x14ac:dyDescent="0.2">
      <c r="A5" s="72" t="s">
        <v>71</v>
      </c>
      <c r="B5" s="75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54</v>
      </c>
      <c r="I5" s="24" t="s">
        <v>8</v>
      </c>
      <c r="J5" s="24" t="s">
        <v>55</v>
      </c>
      <c r="K5" s="24" t="s">
        <v>9</v>
      </c>
      <c r="L5" s="24" t="s">
        <v>56</v>
      </c>
      <c r="M5" s="24" t="s">
        <v>10</v>
      </c>
      <c r="N5" s="24" t="s">
        <v>57</v>
      </c>
      <c r="O5" s="24" t="s">
        <v>11</v>
      </c>
    </row>
    <row r="6" spans="1:15" ht="14.25" customHeight="1" x14ac:dyDescent="0.2">
      <c r="A6" s="16" t="s">
        <v>51</v>
      </c>
      <c r="B6" s="12">
        <v>83663</v>
      </c>
      <c r="C6" s="13">
        <v>79967</v>
      </c>
      <c r="D6" s="15">
        <v>1700</v>
      </c>
      <c r="E6" s="15">
        <v>78161</v>
      </c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2">
      <c r="A7" s="16" t="s">
        <v>52</v>
      </c>
      <c r="B7" s="12">
        <v>79261</v>
      </c>
      <c r="C7" s="13">
        <v>69840</v>
      </c>
      <c r="D7" s="15"/>
      <c r="E7" s="15">
        <v>2124</v>
      </c>
      <c r="F7" s="15">
        <v>48328</v>
      </c>
      <c r="G7" s="15"/>
      <c r="H7" s="15">
        <v>18860</v>
      </c>
      <c r="I7" s="15"/>
      <c r="J7" s="15"/>
      <c r="K7" s="15"/>
      <c r="L7" s="15">
        <v>430</v>
      </c>
      <c r="M7" s="15"/>
      <c r="N7" s="15"/>
      <c r="O7" s="15"/>
    </row>
    <row r="8" spans="1:15" x14ac:dyDescent="0.2">
      <c r="A8" s="16" t="s">
        <v>53</v>
      </c>
      <c r="B8" s="12">
        <v>50627</v>
      </c>
      <c r="C8" s="13">
        <v>48292</v>
      </c>
      <c r="D8" s="15"/>
      <c r="E8" s="15"/>
      <c r="F8" s="15">
        <v>2034</v>
      </c>
      <c r="G8" s="15">
        <v>43311</v>
      </c>
      <c r="H8" s="15">
        <v>2733</v>
      </c>
      <c r="I8" s="15">
        <v>74</v>
      </c>
      <c r="J8" s="15">
        <v>31</v>
      </c>
      <c r="K8" s="15">
        <v>1</v>
      </c>
      <c r="L8" s="15">
        <v>89</v>
      </c>
      <c r="M8" s="15">
        <v>10</v>
      </c>
      <c r="N8" s="15">
        <v>3</v>
      </c>
      <c r="O8" s="15"/>
    </row>
    <row r="9" spans="1:15" x14ac:dyDescent="0.2">
      <c r="A9" s="16" t="s">
        <v>0</v>
      </c>
      <c r="B9" s="12">
        <v>43810</v>
      </c>
      <c r="C9" s="13">
        <v>10072</v>
      </c>
      <c r="D9" s="15"/>
      <c r="E9" s="15"/>
      <c r="F9" s="15">
        <v>1</v>
      </c>
      <c r="G9" s="15">
        <v>1863</v>
      </c>
      <c r="H9" s="15">
        <v>364</v>
      </c>
      <c r="I9" s="15">
        <v>20</v>
      </c>
      <c r="J9" s="15">
        <v>7309</v>
      </c>
      <c r="K9" s="15">
        <v>35</v>
      </c>
      <c r="L9" s="15">
        <v>7</v>
      </c>
      <c r="M9" s="15"/>
      <c r="N9" s="15">
        <v>472</v>
      </c>
      <c r="O9" s="15">
        <v>1</v>
      </c>
    </row>
    <row r="10" spans="1:15" x14ac:dyDescent="0.2">
      <c r="A10" s="16" t="s">
        <v>54</v>
      </c>
      <c r="B10" s="12">
        <v>38009</v>
      </c>
      <c r="C10" s="13">
        <v>29310</v>
      </c>
      <c r="D10" s="15"/>
      <c r="E10" s="15"/>
      <c r="F10" s="15">
        <v>232</v>
      </c>
      <c r="G10" s="15">
        <v>39</v>
      </c>
      <c r="H10" s="15">
        <v>6765</v>
      </c>
      <c r="I10" s="15">
        <v>19205</v>
      </c>
      <c r="J10" s="15">
        <v>2954</v>
      </c>
      <c r="K10" s="15">
        <v>86</v>
      </c>
      <c r="L10" s="15">
        <v>28</v>
      </c>
      <c r="M10" s="15"/>
      <c r="N10" s="15">
        <v>1</v>
      </c>
      <c r="O10" s="15"/>
    </row>
    <row r="11" spans="1:15" x14ac:dyDescent="0.2">
      <c r="A11" s="16" t="s">
        <v>8</v>
      </c>
      <c r="B11" s="12">
        <v>24779</v>
      </c>
      <c r="C11" s="13">
        <v>15882</v>
      </c>
      <c r="D11" s="15"/>
      <c r="E11" s="15"/>
      <c r="F11" s="15">
        <v>35</v>
      </c>
      <c r="G11" s="15">
        <v>6</v>
      </c>
      <c r="H11" s="15">
        <v>748</v>
      </c>
      <c r="I11" s="15">
        <v>5932</v>
      </c>
      <c r="J11" s="15">
        <v>8944</v>
      </c>
      <c r="K11" s="15">
        <v>180</v>
      </c>
      <c r="L11" s="15">
        <v>6</v>
      </c>
      <c r="M11" s="15">
        <v>1</v>
      </c>
      <c r="N11" s="15">
        <v>29</v>
      </c>
      <c r="O11" s="15">
        <v>1</v>
      </c>
    </row>
    <row r="12" spans="1:15" x14ac:dyDescent="0.2">
      <c r="A12" s="16" t="s">
        <v>55</v>
      </c>
      <c r="B12" s="12">
        <v>31990</v>
      </c>
      <c r="C12" s="13">
        <v>27662</v>
      </c>
      <c r="D12" s="15"/>
      <c r="E12" s="15"/>
      <c r="F12" s="15">
        <v>6</v>
      </c>
      <c r="G12" s="15">
        <v>3</v>
      </c>
      <c r="H12" s="15">
        <v>101</v>
      </c>
      <c r="I12" s="15">
        <v>26</v>
      </c>
      <c r="J12" s="15">
        <v>2096</v>
      </c>
      <c r="K12" s="15">
        <v>25416</v>
      </c>
      <c r="L12" s="15"/>
      <c r="M12" s="15">
        <v>1</v>
      </c>
      <c r="N12" s="15">
        <v>12</v>
      </c>
      <c r="O12" s="15">
        <v>1</v>
      </c>
    </row>
    <row r="13" spans="1:15" x14ac:dyDescent="0.2">
      <c r="A13" s="16" t="s">
        <v>9</v>
      </c>
      <c r="B13" s="12">
        <v>32216</v>
      </c>
      <c r="C13" s="13">
        <v>8256</v>
      </c>
      <c r="D13" s="15"/>
      <c r="E13" s="15"/>
      <c r="F13" s="15">
        <v>2</v>
      </c>
      <c r="G13" s="15">
        <v>1</v>
      </c>
      <c r="H13" s="15">
        <v>124</v>
      </c>
      <c r="I13" s="15">
        <v>31</v>
      </c>
      <c r="J13" s="15">
        <v>1034</v>
      </c>
      <c r="K13" s="15">
        <v>7034</v>
      </c>
      <c r="L13" s="15">
        <v>1</v>
      </c>
      <c r="M13" s="15"/>
      <c r="N13" s="15">
        <v>26</v>
      </c>
      <c r="O13" s="15">
        <v>3</v>
      </c>
    </row>
    <row r="14" spans="1:15" x14ac:dyDescent="0.2">
      <c r="A14" s="16" t="s">
        <v>56</v>
      </c>
      <c r="B14" s="12">
        <v>749</v>
      </c>
      <c r="C14" s="13">
        <v>660</v>
      </c>
      <c r="D14" s="15"/>
      <c r="E14" s="15"/>
      <c r="F14" s="15">
        <v>6</v>
      </c>
      <c r="G14" s="15">
        <v>12</v>
      </c>
      <c r="H14" s="15">
        <v>20</v>
      </c>
      <c r="I14" s="15"/>
      <c r="J14" s="15"/>
      <c r="K14" s="15"/>
      <c r="L14" s="15">
        <v>95</v>
      </c>
      <c r="M14" s="15">
        <v>523</v>
      </c>
      <c r="N14" s="15">
        <v>4</v>
      </c>
      <c r="O14" s="15"/>
    </row>
    <row r="15" spans="1:15" x14ac:dyDescent="0.2">
      <c r="A15" s="16" t="s">
        <v>10</v>
      </c>
      <c r="B15" s="12">
        <v>668</v>
      </c>
      <c r="C15" s="13">
        <v>411</v>
      </c>
      <c r="D15" s="15"/>
      <c r="E15" s="15"/>
      <c r="F15" s="15">
        <v>3</v>
      </c>
      <c r="G15" s="15"/>
      <c r="H15" s="15">
        <v>10</v>
      </c>
      <c r="I15" s="15">
        <v>1</v>
      </c>
      <c r="J15" s="15">
        <v>18</v>
      </c>
      <c r="K15" s="15"/>
      <c r="L15" s="15">
        <v>9</v>
      </c>
      <c r="M15" s="15">
        <v>129</v>
      </c>
      <c r="N15" s="15">
        <v>222</v>
      </c>
      <c r="O15" s="15">
        <v>19</v>
      </c>
    </row>
    <row r="16" spans="1:15" x14ac:dyDescent="0.2">
      <c r="A16" s="16" t="s">
        <v>57</v>
      </c>
      <c r="B16" s="12">
        <v>1746</v>
      </c>
      <c r="C16" s="13">
        <v>1424</v>
      </c>
      <c r="D16" s="15"/>
      <c r="E16" s="15"/>
      <c r="F16" s="15"/>
      <c r="G16" s="15"/>
      <c r="H16" s="15">
        <v>6</v>
      </c>
      <c r="I16" s="15">
        <v>1</v>
      </c>
      <c r="J16" s="15">
        <v>20</v>
      </c>
      <c r="K16" s="15">
        <v>2</v>
      </c>
      <c r="L16" s="15">
        <v>2</v>
      </c>
      <c r="M16" s="15">
        <v>5</v>
      </c>
      <c r="N16" s="15">
        <v>223</v>
      </c>
      <c r="O16" s="15">
        <v>1165</v>
      </c>
    </row>
    <row r="17" spans="1:15" x14ac:dyDescent="0.2">
      <c r="A17" s="16" t="s">
        <v>11</v>
      </c>
      <c r="B17" s="12">
        <v>1940</v>
      </c>
      <c r="C17" s="13">
        <v>845</v>
      </c>
      <c r="D17" s="15"/>
      <c r="E17" s="15"/>
      <c r="F17" s="15"/>
      <c r="G17" s="15"/>
      <c r="H17" s="15">
        <v>4</v>
      </c>
      <c r="I17" s="15"/>
      <c r="J17" s="15">
        <v>38</v>
      </c>
      <c r="K17" s="15">
        <v>4</v>
      </c>
      <c r="L17" s="15">
        <v>1</v>
      </c>
      <c r="M17" s="15">
        <v>1</v>
      </c>
      <c r="N17" s="15">
        <v>75</v>
      </c>
      <c r="O17" s="15">
        <v>722</v>
      </c>
    </row>
    <row r="18" spans="1:15" ht="15" thickBot="1" x14ac:dyDescent="0.25">
      <c r="A18" s="25" t="s">
        <v>25</v>
      </c>
      <c r="B18" s="30">
        <f>SUM(B6:B17)</f>
        <v>389458</v>
      </c>
      <c r="C18" s="31">
        <f>SUM(C6:C17)</f>
        <v>292621</v>
      </c>
      <c r="D18" s="31">
        <f>SUM(D6:D17)</f>
        <v>1700</v>
      </c>
      <c r="E18" s="31">
        <f t="shared" ref="E18:O18" si="0">SUM(E6:E17)</f>
        <v>80285</v>
      </c>
      <c r="F18" s="31">
        <f t="shared" si="0"/>
        <v>50647</v>
      </c>
      <c r="G18" s="31">
        <f t="shared" si="0"/>
        <v>45235</v>
      </c>
      <c r="H18" s="31">
        <f t="shared" si="0"/>
        <v>29735</v>
      </c>
      <c r="I18" s="31">
        <f t="shared" si="0"/>
        <v>25290</v>
      </c>
      <c r="J18" s="31">
        <f t="shared" si="0"/>
        <v>22444</v>
      </c>
      <c r="K18" s="31">
        <f t="shared" si="0"/>
        <v>32758</v>
      </c>
      <c r="L18" s="31">
        <f t="shared" si="0"/>
        <v>668</v>
      </c>
      <c r="M18" s="31">
        <f t="shared" si="0"/>
        <v>670</v>
      </c>
      <c r="N18" s="31">
        <f t="shared" si="0"/>
        <v>1067</v>
      </c>
      <c r="O18" s="31">
        <f t="shared" si="0"/>
        <v>1912</v>
      </c>
    </row>
    <row r="19" spans="1:15" x14ac:dyDescent="0.2">
      <c r="A19" s="7" t="s">
        <v>47</v>
      </c>
      <c r="B19" s="7"/>
    </row>
    <row r="20" spans="1:15" x14ac:dyDescent="0.2">
      <c r="A20" s="11"/>
    </row>
    <row r="21" spans="1:15" ht="11.25" customHeight="1" x14ac:dyDescent="0.2">
      <c r="A21" s="11"/>
    </row>
    <row r="22" spans="1:15" ht="24.75" customHeight="1" x14ac:dyDescent="0.25">
      <c r="A22" s="65" t="s">
        <v>45</v>
      </c>
      <c r="B22" s="64" t="s">
        <v>31</v>
      </c>
      <c r="C22" s="3"/>
      <c r="D22" s="3"/>
      <c r="E22" s="3"/>
    </row>
    <row r="23" spans="1:15" ht="16.5" customHeight="1" thickBot="1" x14ac:dyDescent="0.3">
      <c r="A23" s="67"/>
      <c r="B23" s="10" t="s">
        <v>34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17"/>
      <c r="O23" s="21" t="s">
        <v>3</v>
      </c>
    </row>
    <row r="24" spans="1:15" ht="34.5" customHeight="1" x14ac:dyDescent="0.2">
      <c r="A24" s="74" t="s">
        <v>64</v>
      </c>
      <c r="B24" s="58"/>
      <c r="C24" s="55"/>
      <c r="D24" s="55"/>
      <c r="E24" s="55"/>
      <c r="F24" s="55"/>
      <c r="G24" s="55"/>
      <c r="H24" s="63" t="s">
        <v>50</v>
      </c>
      <c r="I24" s="55"/>
      <c r="J24" s="55"/>
      <c r="K24" s="55"/>
      <c r="L24" s="55"/>
      <c r="M24" s="55"/>
      <c r="N24" s="55"/>
      <c r="O24" s="55"/>
    </row>
    <row r="25" spans="1:15" ht="43.5" customHeight="1" x14ac:dyDescent="0.2">
      <c r="A25" s="72" t="s">
        <v>71</v>
      </c>
      <c r="B25" s="54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54</v>
      </c>
      <c r="I25" s="24" t="s">
        <v>8</v>
      </c>
      <c r="J25" s="24" t="s">
        <v>55</v>
      </c>
      <c r="K25" s="24" t="s">
        <v>9</v>
      </c>
      <c r="L25" s="24" t="s">
        <v>56</v>
      </c>
      <c r="M25" s="24" t="s">
        <v>10</v>
      </c>
      <c r="N25" s="24" t="s">
        <v>57</v>
      </c>
      <c r="O25" s="24" t="s">
        <v>11</v>
      </c>
    </row>
    <row r="26" spans="1:15" ht="14.25" customHeight="1" x14ac:dyDescent="0.2">
      <c r="A26" s="16" t="s">
        <v>51</v>
      </c>
      <c r="B26" s="12">
        <f t="shared" ref="B26:B38" si="1">B6/B6*100</f>
        <v>100</v>
      </c>
      <c r="C26" s="19">
        <f t="shared" ref="C26:C38" si="2">SUM(D26:O26)</f>
        <v>95.455577734482375</v>
      </c>
      <c r="D26" s="18">
        <f>D6/$B$6*100</f>
        <v>2.0319615600683698</v>
      </c>
      <c r="E26" s="18">
        <f t="shared" ref="E26:O26" si="3">E6/$B$6*100</f>
        <v>93.423616174414008</v>
      </c>
      <c r="F26" s="18">
        <f t="shared" si="3"/>
        <v>0</v>
      </c>
      <c r="G26" s="18">
        <f t="shared" si="3"/>
        <v>0</v>
      </c>
      <c r="H26" s="18">
        <f t="shared" si="3"/>
        <v>0</v>
      </c>
      <c r="I26" s="18">
        <f t="shared" si="3"/>
        <v>0</v>
      </c>
      <c r="J26" s="18">
        <f t="shared" si="3"/>
        <v>0</v>
      </c>
      <c r="K26" s="18">
        <f t="shared" si="3"/>
        <v>0</v>
      </c>
      <c r="L26" s="18">
        <f t="shared" si="3"/>
        <v>0</v>
      </c>
      <c r="M26" s="18">
        <f t="shared" si="3"/>
        <v>0</v>
      </c>
      <c r="N26" s="18">
        <f t="shared" si="3"/>
        <v>0</v>
      </c>
      <c r="O26" s="18">
        <f t="shared" si="3"/>
        <v>0</v>
      </c>
    </row>
    <row r="27" spans="1:15" x14ac:dyDescent="0.2">
      <c r="A27" s="16" t="s">
        <v>52</v>
      </c>
      <c r="B27" s="12">
        <f t="shared" si="1"/>
        <v>100</v>
      </c>
      <c r="C27" s="19">
        <f t="shared" si="2"/>
        <v>87.990310493180758</v>
      </c>
      <c r="D27" s="18">
        <f t="shared" ref="D27:O27" si="4">D7/$B$7*100</f>
        <v>0</v>
      </c>
      <c r="E27" s="18">
        <f t="shared" si="4"/>
        <v>2.6797542296968246</v>
      </c>
      <c r="F27" s="18">
        <f t="shared" si="4"/>
        <v>60.973240307339047</v>
      </c>
      <c r="G27" s="18">
        <f t="shared" si="4"/>
        <v>0</v>
      </c>
      <c r="H27" s="18">
        <f t="shared" si="4"/>
        <v>23.794804506629994</v>
      </c>
      <c r="I27" s="18">
        <f t="shared" si="4"/>
        <v>0</v>
      </c>
      <c r="J27" s="18">
        <f t="shared" si="4"/>
        <v>0</v>
      </c>
      <c r="K27" s="18">
        <f t="shared" si="4"/>
        <v>0</v>
      </c>
      <c r="L27" s="18">
        <f t="shared" si="4"/>
        <v>0.54251144951489383</v>
      </c>
      <c r="M27" s="18">
        <f t="shared" si="4"/>
        <v>0</v>
      </c>
      <c r="N27" s="18">
        <f t="shared" si="4"/>
        <v>0</v>
      </c>
      <c r="O27" s="18">
        <f t="shared" si="4"/>
        <v>0</v>
      </c>
    </row>
    <row r="28" spans="1:15" x14ac:dyDescent="0.2">
      <c r="A28" s="16" t="s">
        <v>53</v>
      </c>
      <c r="B28" s="12">
        <f t="shared" si="1"/>
        <v>100</v>
      </c>
      <c r="C28" s="19">
        <f t="shared" si="2"/>
        <v>95.375985146265819</v>
      </c>
      <c r="D28" s="18">
        <f t="shared" ref="D28:O28" si="5">D8/$B$8*100</f>
        <v>0</v>
      </c>
      <c r="E28" s="18">
        <f t="shared" si="5"/>
        <v>0</v>
      </c>
      <c r="F28" s="18">
        <f t="shared" si="5"/>
        <v>4.0176190570249082</v>
      </c>
      <c r="G28" s="18">
        <f t="shared" si="5"/>
        <v>85.549212870602645</v>
      </c>
      <c r="H28" s="18">
        <f t="shared" si="5"/>
        <v>5.3983052521381873</v>
      </c>
      <c r="I28" s="18">
        <f t="shared" si="5"/>
        <v>0.14616706500483931</v>
      </c>
      <c r="J28" s="18">
        <f t="shared" si="5"/>
        <v>6.1232148853378632E-2</v>
      </c>
      <c r="K28" s="18">
        <f t="shared" si="5"/>
        <v>1.9752306081735043E-3</v>
      </c>
      <c r="L28" s="18">
        <f t="shared" si="5"/>
        <v>0.17579552412744187</v>
      </c>
      <c r="M28" s="18">
        <f t="shared" si="5"/>
        <v>1.9752306081735043E-2</v>
      </c>
      <c r="N28" s="18">
        <f t="shared" si="5"/>
        <v>5.9256918245205129E-3</v>
      </c>
      <c r="O28" s="18">
        <f t="shared" si="5"/>
        <v>0</v>
      </c>
    </row>
    <row r="29" spans="1:15" x14ac:dyDescent="0.2">
      <c r="A29" s="16" t="s">
        <v>0</v>
      </c>
      <c r="B29" s="12">
        <f t="shared" si="1"/>
        <v>100</v>
      </c>
      <c r="C29" s="19">
        <f t="shared" si="2"/>
        <v>22.990184889294682</v>
      </c>
      <c r="D29" s="18">
        <f t="shared" ref="D29:O29" si="6">D9/$B$9*100</f>
        <v>0</v>
      </c>
      <c r="E29" s="18">
        <f t="shared" si="6"/>
        <v>0</v>
      </c>
      <c r="F29" s="18">
        <f t="shared" si="6"/>
        <v>2.2825838849577719E-3</v>
      </c>
      <c r="G29" s="18">
        <f t="shared" si="6"/>
        <v>4.2524537776763296</v>
      </c>
      <c r="H29" s="18">
        <f t="shared" si="6"/>
        <v>0.83086053412462901</v>
      </c>
      <c r="I29" s="18">
        <f t="shared" si="6"/>
        <v>4.5651677699155443E-2</v>
      </c>
      <c r="J29" s="18">
        <f t="shared" si="6"/>
        <v>16.683405615156357</v>
      </c>
      <c r="K29" s="18">
        <f t="shared" si="6"/>
        <v>7.9890435973522023E-2</v>
      </c>
      <c r="L29" s="18">
        <f t="shared" si="6"/>
        <v>1.5978087194704404E-2</v>
      </c>
      <c r="M29" s="18">
        <f t="shared" si="6"/>
        <v>0</v>
      </c>
      <c r="N29" s="18">
        <f t="shared" si="6"/>
        <v>1.0773795937000685</v>
      </c>
      <c r="O29" s="18">
        <f t="shared" si="6"/>
        <v>2.2825838849577719E-3</v>
      </c>
    </row>
    <row r="30" spans="1:15" x14ac:dyDescent="0.2">
      <c r="A30" s="16" t="s">
        <v>54</v>
      </c>
      <c r="B30" s="12">
        <f t="shared" si="1"/>
        <v>100</v>
      </c>
      <c r="C30" s="19">
        <f t="shared" si="2"/>
        <v>77.113315267436676</v>
      </c>
      <c r="D30" s="18">
        <f t="shared" ref="D30:O30" si="7">D10/$B$10*100</f>
        <v>0</v>
      </c>
      <c r="E30" s="18">
        <f t="shared" si="7"/>
        <v>0</v>
      </c>
      <c r="F30" s="18">
        <f t="shared" si="7"/>
        <v>0.61038175169038911</v>
      </c>
      <c r="G30" s="18">
        <f t="shared" si="7"/>
        <v>0.10260727722381541</v>
      </c>
      <c r="H30" s="18">
        <f t="shared" si="7"/>
        <v>17.798416164592595</v>
      </c>
      <c r="I30" s="18">
        <f t="shared" si="7"/>
        <v>50.52750664316347</v>
      </c>
      <c r="J30" s="18">
        <f t="shared" si="7"/>
        <v>7.7718435107474546</v>
      </c>
      <c r="K30" s="18">
        <f t="shared" si="7"/>
        <v>0.22626220105764422</v>
      </c>
      <c r="L30" s="18">
        <f t="shared" si="7"/>
        <v>7.3666763135046956E-2</v>
      </c>
      <c r="M30" s="18">
        <f t="shared" si="7"/>
        <v>0</v>
      </c>
      <c r="N30" s="18">
        <f t="shared" si="7"/>
        <v>2.6309558262516772E-3</v>
      </c>
      <c r="O30" s="18">
        <f t="shared" si="7"/>
        <v>0</v>
      </c>
    </row>
    <row r="31" spans="1:15" x14ac:dyDescent="0.2">
      <c r="A31" s="16" t="s">
        <v>8</v>
      </c>
      <c r="B31" s="12">
        <f t="shared" si="1"/>
        <v>100</v>
      </c>
      <c r="C31" s="19">
        <f t="shared" si="2"/>
        <v>64.094596230679201</v>
      </c>
      <c r="D31" s="18">
        <f t="shared" ref="D31:O31" si="8">D11/$B$11*100</f>
        <v>0</v>
      </c>
      <c r="E31" s="18">
        <f t="shared" si="8"/>
        <v>0</v>
      </c>
      <c r="F31" s="18">
        <f t="shared" si="8"/>
        <v>0.14124863795956252</v>
      </c>
      <c r="G31" s="18">
        <f t="shared" si="8"/>
        <v>2.421405222163929E-2</v>
      </c>
      <c r="H31" s="18">
        <f t="shared" si="8"/>
        <v>3.018685176964365</v>
      </c>
      <c r="I31" s="18">
        <f t="shared" si="8"/>
        <v>23.939626296460712</v>
      </c>
      <c r="J31" s="18">
        <f t="shared" si="8"/>
        <v>36.095080511723637</v>
      </c>
      <c r="K31" s="18">
        <f t="shared" si="8"/>
        <v>0.72642156664917867</v>
      </c>
      <c r="L31" s="18">
        <f t="shared" si="8"/>
        <v>2.421405222163929E-2</v>
      </c>
      <c r="M31" s="18">
        <f t="shared" si="8"/>
        <v>4.0356753702732156E-3</v>
      </c>
      <c r="N31" s="18">
        <f t="shared" si="8"/>
        <v>0.11703458573792325</v>
      </c>
      <c r="O31" s="18">
        <f t="shared" si="8"/>
        <v>4.0356753702732156E-3</v>
      </c>
    </row>
    <row r="32" spans="1:15" x14ac:dyDescent="0.2">
      <c r="A32" s="16" t="s">
        <v>55</v>
      </c>
      <c r="B32" s="12">
        <f t="shared" si="1"/>
        <v>100</v>
      </c>
      <c r="C32" s="19">
        <f t="shared" si="2"/>
        <v>86.470772116286327</v>
      </c>
      <c r="D32" s="18">
        <f t="shared" ref="D32:O32" si="9">D12/$B$12*100</f>
        <v>0</v>
      </c>
      <c r="E32" s="18">
        <f t="shared" si="9"/>
        <v>0</v>
      </c>
      <c r="F32" s="18">
        <f t="shared" si="9"/>
        <v>1.8755861206627072E-2</v>
      </c>
      <c r="G32" s="18">
        <f t="shared" si="9"/>
        <v>9.3779306033135359E-3</v>
      </c>
      <c r="H32" s="18">
        <f t="shared" si="9"/>
        <v>0.31572366364488902</v>
      </c>
      <c r="I32" s="18">
        <f t="shared" si="9"/>
        <v>8.1275398562050641E-2</v>
      </c>
      <c r="J32" s="18">
        <f t="shared" si="9"/>
        <v>6.5520475148483897</v>
      </c>
      <c r="K32" s="18">
        <f t="shared" si="9"/>
        <v>79.449828071272279</v>
      </c>
      <c r="L32" s="18">
        <f t="shared" si="9"/>
        <v>0</v>
      </c>
      <c r="M32" s="18">
        <f t="shared" si="9"/>
        <v>3.1259768677711786E-3</v>
      </c>
      <c r="N32" s="18">
        <f t="shared" si="9"/>
        <v>3.7511722413254144E-2</v>
      </c>
      <c r="O32" s="18">
        <f t="shared" si="9"/>
        <v>3.1259768677711786E-3</v>
      </c>
    </row>
    <row r="33" spans="1:16" x14ac:dyDescent="0.2">
      <c r="A33" s="16" t="s">
        <v>9</v>
      </c>
      <c r="B33" s="12">
        <f t="shared" si="1"/>
        <v>100</v>
      </c>
      <c r="C33" s="19">
        <f t="shared" si="2"/>
        <v>25.62701763099081</v>
      </c>
      <c r="D33" s="18">
        <f t="shared" ref="D33:O33" si="10">D13/$B$13*100</f>
        <v>0</v>
      </c>
      <c r="E33" s="18">
        <f t="shared" si="10"/>
        <v>0</v>
      </c>
      <c r="F33" s="18">
        <f t="shared" si="10"/>
        <v>6.2080953563446737E-3</v>
      </c>
      <c r="G33" s="18">
        <f t="shared" si="10"/>
        <v>3.1040476781723368E-3</v>
      </c>
      <c r="H33" s="18">
        <f t="shared" si="10"/>
        <v>0.38490191209336977</v>
      </c>
      <c r="I33" s="18">
        <f t="shared" si="10"/>
        <v>9.6225478023342442E-2</v>
      </c>
      <c r="J33" s="18">
        <f t="shared" si="10"/>
        <v>3.2095852992301963</v>
      </c>
      <c r="K33" s="18">
        <f t="shared" si="10"/>
        <v>21.833871368264216</v>
      </c>
      <c r="L33" s="18">
        <f t="shared" si="10"/>
        <v>3.1040476781723368E-3</v>
      </c>
      <c r="M33" s="18">
        <f t="shared" si="10"/>
        <v>0</v>
      </c>
      <c r="N33" s="18">
        <f t="shared" si="10"/>
        <v>8.070523963248076E-2</v>
      </c>
      <c r="O33" s="18">
        <f t="shared" si="10"/>
        <v>9.3121430345170109E-3</v>
      </c>
    </row>
    <row r="34" spans="1:16" x14ac:dyDescent="0.2">
      <c r="A34" s="16" t="s">
        <v>56</v>
      </c>
      <c r="B34" s="12">
        <f t="shared" si="1"/>
        <v>100</v>
      </c>
      <c r="C34" s="19">
        <f t="shared" si="2"/>
        <v>88.117489986648863</v>
      </c>
      <c r="D34" s="18">
        <f t="shared" ref="D34:O34" si="11">D14/$B$14*100</f>
        <v>0</v>
      </c>
      <c r="E34" s="18">
        <f t="shared" si="11"/>
        <v>0</v>
      </c>
      <c r="F34" s="18">
        <f t="shared" si="11"/>
        <v>0.80106809078771701</v>
      </c>
      <c r="G34" s="18">
        <f t="shared" si="11"/>
        <v>1.602136181575434</v>
      </c>
      <c r="H34" s="18">
        <f t="shared" si="11"/>
        <v>2.6702269692923899</v>
      </c>
      <c r="I34" s="18">
        <f t="shared" si="11"/>
        <v>0</v>
      </c>
      <c r="J34" s="18">
        <f t="shared" si="11"/>
        <v>0</v>
      </c>
      <c r="K34" s="18">
        <f t="shared" si="11"/>
        <v>0</v>
      </c>
      <c r="L34" s="18">
        <f t="shared" si="11"/>
        <v>12.683578104138851</v>
      </c>
      <c r="M34" s="18">
        <f t="shared" si="11"/>
        <v>69.826435246995999</v>
      </c>
      <c r="N34" s="18">
        <f t="shared" si="11"/>
        <v>0.53404539385847793</v>
      </c>
      <c r="O34" s="18">
        <f t="shared" si="11"/>
        <v>0</v>
      </c>
    </row>
    <row r="35" spans="1:16" x14ac:dyDescent="0.2">
      <c r="A35" s="16" t="s">
        <v>10</v>
      </c>
      <c r="B35" s="12">
        <f t="shared" si="1"/>
        <v>100</v>
      </c>
      <c r="C35" s="19">
        <f t="shared" si="2"/>
        <v>61.526946107784433</v>
      </c>
      <c r="D35" s="18">
        <f t="shared" ref="D35:O35" si="12">D15/$B$15*100</f>
        <v>0</v>
      </c>
      <c r="E35" s="18">
        <f t="shared" si="12"/>
        <v>0</v>
      </c>
      <c r="F35" s="18">
        <f t="shared" si="12"/>
        <v>0.44910179640718562</v>
      </c>
      <c r="G35" s="18">
        <f t="shared" si="12"/>
        <v>0</v>
      </c>
      <c r="H35" s="18">
        <f t="shared" si="12"/>
        <v>1.4970059880239521</v>
      </c>
      <c r="I35" s="18">
        <f t="shared" si="12"/>
        <v>0.14970059880239522</v>
      </c>
      <c r="J35" s="18">
        <f t="shared" si="12"/>
        <v>2.6946107784431139</v>
      </c>
      <c r="K35" s="18">
        <f t="shared" si="12"/>
        <v>0</v>
      </c>
      <c r="L35" s="18">
        <f t="shared" si="12"/>
        <v>1.347305389221557</v>
      </c>
      <c r="M35" s="18">
        <f t="shared" si="12"/>
        <v>19.311377245508982</v>
      </c>
      <c r="N35" s="18">
        <f t="shared" si="12"/>
        <v>33.233532934131738</v>
      </c>
      <c r="O35" s="18">
        <f t="shared" si="12"/>
        <v>2.8443113772455089</v>
      </c>
    </row>
    <row r="36" spans="1:16" x14ac:dyDescent="0.2">
      <c r="A36" s="16" t="s">
        <v>57</v>
      </c>
      <c r="B36" s="12">
        <f t="shared" si="1"/>
        <v>100</v>
      </c>
      <c r="C36" s="19">
        <f t="shared" si="2"/>
        <v>81.557846506300109</v>
      </c>
      <c r="D36" s="18">
        <f t="shared" ref="D36:O36" si="13">D16/$B$16*100</f>
        <v>0</v>
      </c>
      <c r="E36" s="18">
        <f t="shared" si="13"/>
        <v>0</v>
      </c>
      <c r="F36" s="18">
        <f t="shared" si="13"/>
        <v>0</v>
      </c>
      <c r="G36" s="18">
        <f t="shared" si="13"/>
        <v>0</v>
      </c>
      <c r="H36" s="18">
        <f t="shared" si="13"/>
        <v>0.3436426116838488</v>
      </c>
      <c r="I36" s="18">
        <f t="shared" si="13"/>
        <v>5.7273768613974804E-2</v>
      </c>
      <c r="J36" s="18">
        <f t="shared" si="13"/>
        <v>1.1454753722794959</v>
      </c>
      <c r="K36" s="18">
        <f t="shared" si="13"/>
        <v>0.11454753722794961</v>
      </c>
      <c r="L36" s="18">
        <f t="shared" si="13"/>
        <v>0.11454753722794961</v>
      </c>
      <c r="M36" s="18">
        <f t="shared" si="13"/>
        <v>0.28636884306987398</v>
      </c>
      <c r="N36" s="18">
        <f t="shared" si="13"/>
        <v>12.772050400916379</v>
      </c>
      <c r="O36" s="18">
        <f t="shared" si="13"/>
        <v>66.723940435280639</v>
      </c>
    </row>
    <row r="37" spans="1:16" x14ac:dyDescent="0.2">
      <c r="A37" s="16" t="s">
        <v>11</v>
      </c>
      <c r="B37" s="12">
        <f t="shared" si="1"/>
        <v>100</v>
      </c>
      <c r="C37" s="19">
        <f t="shared" si="2"/>
        <v>43.55670103092784</v>
      </c>
      <c r="D37" s="18">
        <f t="shared" ref="D37:O37" si="14">D17/$B$17*100</f>
        <v>0</v>
      </c>
      <c r="E37" s="18">
        <f t="shared" si="14"/>
        <v>0</v>
      </c>
      <c r="F37" s="18">
        <f t="shared" si="14"/>
        <v>0</v>
      </c>
      <c r="G37" s="18">
        <f t="shared" si="14"/>
        <v>0</v>
      </c>
      <c r="H37" s="18">
        <f t="shared" si="14"/>
        <v>0.2061855670103093</v>
      </c>
      <c r="I37" s="18">
        <f t="shared" si="14"/>
        <v>0</v>
      </c>
      <c r="J37" s="18">
        <f t="shared" si="14"/>
        <v>1.9587628865979381</v>
      </c>
      <c r="K37" s="18">
        <f t="shared" si="14"/>
        <v>0.2061855670103093</v>
      </c>
      <c r="L37" s="18">
        <f t="shared" si="14"/>
        <v>5.1546391752577324E-2</v>
      </c>
      <c r="M37" s="18">
        <f t="shared" si="14"/>
        <v>5.1546391752577324E-2</v>
      </c>
      <c r="N37" s="18">
        <f t="shared" si="14"/>
        <v>3.865979381443299</v>
      </c>
      <c r="O37" s="18">
        <f t="shared" si="14"/>
        <v>37.216494845360828</v>
      </c>
    </row>
    <row r="38" spans="1:16" ht="15" thickBot="1" x14ac:dyDescent="0.25">
      <c r="A38" s="25" t="s">
        <v>13</v>
      </c>
      <c r="B38" s="28">
        <f t="shared" si="1"/>
        <v>100</v>
      </c>
      <c r="C38" s="29">
        <f t="shared" si="2"/>
        <v>75.081523553245802</v>
      </c>
      <c r="D38" s="29">
        <f t="shared" ref="D38:O38" si="15">D18/$B$18*100</f>
        <v>0.4365040646231429</v>
      </c>
      <c r="E38" s="29">
        <f t="shared" si="15"/>
        <v>20.614546369570018</v>
      </c>
      <c r="F38" s="29">
        <f t="shared" si="15"/>
        <v>13.004483153510776</v>
      </c>
      <c r="G38" s="29">
        <f t="shared" si="15"/>
        <v>11.614859625428158</v>
      </c>
      <c r="H38" s="29">
        <f t="shared" si="15"/>
        <v>7.6349696244524434</v>
      </c>
      <c r="I38" s="29">
        <f t="shared" si="15"/>
        <v>6.4936398790113437</v>
      </c>
      <c r="J38" s="29">
        <f t="shared" si="15"/>
        <v>5.7628807214128352</v>
      </c>
      <c r="K38" s="29">
        <f t="shared" si="15"/>
        <v>8.4111765581911282</v>
      </c>
      <c r="L38" s="29">
        <f t="shared" si="15"/>
        <v>0.17152042068721146</v>
      </c>
      <c r="M38" s="29">
        <f t="shared" si="15"/>
        <v>0.17203395488088574</v>
      </c>
      <c r="N38" s="29">
        <f t="shared" si="15"/>
        <v>0.27397049232523146</v>
      </c>
      <c r="O38" s="29">
        <f t="shared" si="15"/>
        <v>0.49093868915261724</v>
      </c>
    </row>
    <row r="39" spans="1:16" x14ac:dyDescent="0.2">
      <c r="A39" s="7" t="s">
        <v>47</v>
      </c>
      <c r="B39" s="7"/>
      <c r="P39" s="20"/>
    </row>
    <row r="40" spans="1:16" x14ac:dyDescent="0.2">
      <c r="A40" s="7"/>
      <c r="B40" s="7"/>
    </row>
    <row r="41" spans="1:16" ht="24.75" customHeight="1" x14ac:dyDescent="0.25">
      <c r="A41" s="65" t="s">
        <v>46</v>
      </c>
      <c r="B41" s="60" t="s">
        <v>33</v>
      </c>
      <c r="C41" s="3"/>
      <c r="D41" s="3"/>
      <c r="E41" s="3"/>
    </row>
    <row r="42" spans="1:16" ht="16.5" customHeight="1" thickBot="1" x14ac:dyDescent="0.55000000000000004">
      <c r="A42" s="56"/>
      <c r="B42" s="10" t="s">
        <v>34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17"/>
      <c r="O42" s="21" t="s">
        <v>3</v>
      </c>
    </row>
    <row r="43" spans="1:16" ht="34.5" customHeight="1" x14ac:dyDescent="0.2">
      <c r="A43" s="74" t="s">
        <v>64</v>
      </c>
      <c r="B43" s="58"/>
      <c r="C43" s="55"/>
      <c r="D43" s="55"/>
      <c r="E43" s="55"/>
      <c r="F43" s="55"/>
      <c r="G43" s="55"/>
      <c r="H43" s="63" t="s">
        <v>50</v>
      </c>
      <c r="I43" s="55"/>
      <c r="J43" s="55"/>
      <c r="K43" s="55"/>
      <c r="L43" s="55"/>
      <c r="M43" s="55"/>
      <c r="N43" s="55"/>
      <c r="O43" s="55"/>
    </row>
    <row r="44" spans="1:16" ht="43.5" customHeight="1" x14ac:dyDescent="0.2">
      <c r="A44" s="72" t="s">
        <v>71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54</v>
      </c>
      <c r="I44" s="24" t="s">
        <v>8</v>
      </c>
      <c r="J44" s="24" t="s">
        <v>55</v>
      </c>
      <c r="K44" s="24" t="s">
        <v>9</v>
      </c>
      <c r="L44" s="24" t="s">
        <v>56</v>
      </c>
      <c r="M44" s="24" t="s">
        <v>10</v>
      </c>
      <c r="N44" s="24" t="s">
        <v>57</v>
      </c>
      <c r="O44" s="24" t="s">
        <v>11</v>
      </c>
    </row>
    <row r="45" spans="1:16" ht="14.25" customHeight="1" x14ac:dyDescent="0.25">
      <c r="A45" s="16" t="s">
        <v>51</v>
      </c>
      <c r="B45" s="22"/>
      <c r="C45" s="19">
        <f t="shared" ref="C45:C56" si="16">C6/$C$18*100</f>
        <v>27.327840448908315</v>
      </c>
      <c r="D45" s="18">
        <f t="shared" ref="D45:D57" si="17">D6/$D$18*100</f>
        <v>100</v>
      </c>
      <c r="E45" s="18">
        <f t="shared" ref="E45:E57" si="18">E6/$E$18*100</f>
        <v>97.354424861431156</v>
      </c>
      <c r="F45" s="18">
        <f t="shared" ref="F45:F57" si="19">F6/$F$18*100</f>
        <v>0</v>
      </c>
      <c r="G45" s="18">
        <f t="shared" ref="G45:G57" si="20">G6/$G$18*100</f>
        <v>0</v>
      </c>
      <c r="H45" s="18">
        <f t="shared" ref="H45:H57" si="21">H6/$H$18*100</f>
        <v>0</v>
      </c>
      <c r="I45" s="18">
        <f t="shared" ref="I45:I57" si="22">I6/$I$18*100</f>
        <v>0</v>
      </c>
      <c r="J45" s="18">
        <f t="shared" ref="J45:J57" si="23">J6/$J$18*100</f>
        <v>0</v>
      </c>
      <c r="K45" s="18">
        <f t="shared" ref="K45:K57" si="24">K6/$K$18*100</f>
        <v>0</v>
      </c>
      <c r="L45" s="18">
        <f t="shared" ref="L45:L57" si="25">L6/$L$18*100</f>
        <v>0</v>
      </c>
      <c r="M45" s="18">
        <f t="shared" ref="M45:M57" si="26">M6/$M$18*100</f>
        <v>0</v>
      </c>
      <c r="N45" s="18">
        <f t="shared" ref="N45:N57" si="27">N6/$N$18*100</f>
        <v>0</v>
      </c>
      <c r="O45" s="18">
        <f t="shared" ref="O45:O57" si="28">O6/$O$18*100</f>
        <v>0</v>
      </c>
    </row>
    <row r="46" spans="1:16" ht="15" x14ac:dyDescent="0.25">
      <c r="A46" s="16" t="s">
        <v>52</v>
      </c>
      <c r="B46" s="22"/>
      <c r="C46" s="19">
        <f t="shared" si="16"/>
        <v>23.867049869968319</v>
      </c>
      <c r="D46" s="18">
        <f t="shared" si="17"/>
        <v>0</v>
      </c>
      <c r="E46" s="18">
        <f t="shared" si="18"/>
        <v>2.6455751385688484</v>
      </c>
      <c r="F46" s="18">
        <f t="shared" si="19"/>
        <v>95.421249037455325</v>
      </c>
      <c r="G46" s="18">
        <f t="shared" si="20"/>
        <v>0</v>
      </c>
      <c r="H46" s="18">
        <f t="shared" si="21"/>
        <v>63.426937951908528</v>
      </c>
      <c r="I46" s="18">
        <f t="shared" si="22"/>
        <v>0</v>
      </c>
      <c r="J46" s="18">
        <f t="shared" si="23"/>
        <v>0</v>
      </c>
      <c r="K46" s="18">
        <f t="shared" si="24"/>
        <v>0</v>
      </c>
      <c r="L46" s="18">
        <f t="shared" si="25"/>
        <v>64.371257485029943</v>
      </c>
      <c r="M46" s="18">
        <f t="shared" si="26"/>
        <v>0</v>
      </c>
      <c r="N46" s="18">
        <f t="shared" si="27"/>
        <v>0</v>
      </c>
      <c r="O46" s="18">
        <f t="shared" si="28"/>
        <v>0</v>
      </c>
    </row>
    <row r="47" spans="1:16" ht="15" x14ac:dyDescent="0.25">
      <c r="A47" s="16" t="s">
        <v>53</v>
      </c>
      <c r="B47" s="22"/>
      <c r="C47" s="19">
        <f t="shared" si="16"/>
        <v>16.503258481106961</v>
      </c>
      <c r="D47" s="18">
        <f t="shared" si="17"/>
        <v>0</v>
      </c>
      <c r="E47" s="18">
        <f t="shared" si="18"/>
        <v>0</v>
      </c>
      <c r="F47" s="18">
        <f t="shared" si="19"/>
        <v>4.0160325389460381</v>
      </c>
      <c r="G47" s="18">
        <f t="shared" si="20"/>
        <v>95.746656350171335</v>
      </c>
      <c r="H47" s="18">
        <f t="shared" si="21"/>
        <v>9.1911888347065744</v>
      </c>
      <c r="I47" s="18">
        <f t="shared" si="22"/>
        <v>0.29260577303281932</v>
      </c>
      <c r="J47" s="18">
        <f t="shared" si="23"/>
        <v>0.13812154696132595</v>
      </c>
      <c r="K47" s="18">
        <f t="shared" si="24"/>
        <v>3.0526894193784724E-3</v>
      </c>
      <c r="L47" s="18">
        <f t="shared" si="25"/>
        <v>13.323353293413174</v>
      </c>
      <c r="M47" s="18">
        <f t="shared" si="26"/>
        <v>1.4925373134328357</v>
      </c>
      <c r="N47" s="18">
        <f t="shared" si="27"/>
        <v>0.28116213683223995</v>
      </c>
      <c r="O47" s="18">
        <f t="shared" si="28"/>
        <v>0</v>
      </c>
    </row>
    <row r="48" spans="1:16" ht="15" x14ac:dyDescent="0.25">
      <c r="A48" s="16" t="s">
        <v>0</v>
      </c>
      <c r="B48" s="22"/>
      <c r="C48" s="19">
        <f t="shared" si="16"/>
        <v>3.4419949354284212</v>
      </c>
      <c r="D48" s="18">
        <f t="shared" si="17"/>
        <v>0</v>
      </c>
      <c r="E48" s="18">
        <f t="shared" si="18"/>
        <v>0</v>
      </c>
      <c r="F48" s="18">
        <f t="shared" si="19"/>
        <v>1.974450609118013E-3</v>
      </c>
      <c r="G48" s="18">
        <f t="shared" si="20"/>
        <v>4.1184923178954351</v>
      </c>
      <c r="H48" s="18">
        <f t="shared" si="21"/>
        <v>1.2241466285522113</v>
      </c>
      <c r="I48" s="18">
        <f t="shared" si="22"/>
        <v>7.9082641360221431E-2</v>
      </c>
      <c r="J48" s="18">
        <f t="shared" si="23"/>
        <v>32.565496346462311</v>
      </c>
      <c r="K48" s="18">
        <f t="shared" si="24"/>
        <v>0.10684412967824654</v>
      </c>
      <c r="L48" s="18">
        <f t="shared" si="25"/>
        <v>1.0479041916167664</v>
      </c>
      <c r="M48" s="18">
        <f t="shared" si="26"/>
        <v>0</v>
      </c>
      <c r="N48" s="18">
        <f t="shared" si="27"/>
        <v>44.236176194939084</v>
      </c>
      <c r="O48" s="18">
        <f t="shared" si="28"/>
        <v>5.2301255230125521E-2</v>
      </c>
    </row>
    <row r="49" spans="1:15" ht="15" x14ac:dyDescent="0.25">
      <c r="A49" s="16" t="s">
        <v>54</v>
      </c>
      <c r="B49" s="22"/>
      <c r="C49" s="19">
        <f t="shared" si="16"/>
        <v>10.016369296803715</v>
      </c>
      <c r="D49" s="18">
        <f t="shared" si="17"/>
        <v>0</v>
      </c>
      <c r="E49" s="18">
        <f t="shared" si="18"/>
        <v>0</v>
      </c>
      <c r="F49" s="18">
        <f t="shared" si="19"/>
        <v>0.458072541315379</v>
      </c>
      <c r="G49" s="18">
        <f t="shared" si="20"/>
        <v>8.6216425334364979E-2</v>
      </c>
      <c r="H49" s="18">
        <f t="shared" si="21"/>
        <v>22.750966874054146</v>
      </c>
      <c r="I49" s="18">
        <f t="shared" si="22"/>
        <v>75.939106366152629</v>
      </c>
      <c r="J49" s="18">
        <f t="shared" si="23"/>
        <v>13.16164676528248</v>
      </c>
      <c r="K49" s="18">
        <f t="shared" si="24"/>
        <v>0.26253129006654863</v>
      </c>
      <c r="L49" s="18">
        <f t="shared" si="25"/>
        <v>4.1916167664670656</v>
      </c>
      <c r="M49" s="18">
        <f t="shared" si="26"/>
        <v>0</v>
      </c>
      <c r="N49" s="18">
        <f t="shared" si="27"/>
        <v>9.3720712277413312E-2</v>
      </c>
      <c r="O49" s="18">
        <f t="shared" si="28"/>
        <v>0</v>
      </c>
    </row>
    <row r="50" spans="1:15" ht="15" x14ac:dyDescent="0.25">
      <c r="A50" s="16" t="s">
        <v>8</v>
      </c>
      <c r="B50" s="22"/>
      <c r="C50" s="19">
        <f t="shared" si="16"/>
        <v>5.427498368196404</v>
      </c>
      <c r="D50" s="18">
        <f t="shared" si="17"/>
        <v>0</v>
      </c>
      <c r="E50" s="18">
        <f t="shared" si="18"/>
        <v>0</v>
      </c>
      <c r="F50" s="18">
        <f t="shared" si="19"/>
        <v>6.9105771319130455E-2</v>
      </c>
      <c r="G50" s="18">
        <f t="shared" si="20"/>
        <v>1.3264065436056151E-2</v>
      </c>
      <c r="H50" s="18">
        <f t="shared" si="21"/>
        <v>2.5155540608710272</v>
      </c>
      <c r="I50" s="18">
        <f t="shared" si="22"/>
        <v>23.455911427441674</v>
      </c>
      <c r="J50" s="18">
        <f t="shared" si="23"/>
        <v>39.850294065229015</v>
      </c>
      <c r="K50" s="18">
        <f t="shared" si="24"/>
        <v>0.54948409548812505</v>
      </c>
      <c r="L50" s="18">
        <f t="shared" si="25"/>
        <v>0.89820359281437123</v>
      </c>
      <c r="M50" s="18">
        <f t="shared" si="26"/>
        <v>0.1492537313432836</v>
      </c>
      <c r="N50" s="18">
        <f t="shared" si="27"/>
        <v>2.7179006560449857</v>
      </c>
      <c r="O50" s="18">
        <f t="shared" si="28"/>
        <v>5.2301255230125521E-2</v>
      </c>
    </row>
    <row r="51" spans="1:15" ht="15" x14ac:dyDescent="0.25">
      <c r="A51" s="16" t="s">
        <v>55</v>
      </c>
      <c r="B51" s="22"/>
      <c r="C51" s="19">
        <f t="shared" si="16"/>
        <v>9.4531834694024006</v>
      </c>
      <c r="D51" s="18">
        <f t="shared" si="17"/>
        <v>0</v>
      </c>
      <c r="E51" s="18">
        <f t="shared" si="18"/>
        <v>0</v>
      </c>
      <c r="F51" s="18">
        <f t="shared" si="19"/>
        <v>1.1846703654708078E-2</v>
      </c>
      <c r="G51" s="18">
        <f t="shared" si="20"/>
        <v>6.6320327180280757E-3</v>
      </c>
      <c r="H51" s="18">
        <f t="shared" si="21"/>
        <v>0.3396670590213553</v>
      </c>
      <c r="I51" s="18">
        <f t="shared" si="22"/>
        <v>0.10280743376828785</v>
      </c>
      <c r="J51" s="18">
        <f t="shared" si="23"/>
        <v>9.3387987880948131</v>
      </c>
      <c r="K51" s="18">
        <f t="shared" si="24"/>
        <v>77.587154282923251</v>
      </c>
      <c r="L51" s="18">
        <f t="shared" si="25"/>
        <v>0</v>
      </c>
      <c r="M51" s="18">
        <f t="shared" si="26"/>
        <v>0.1492537313432836</v>
      </c>
      <c r="N51" s="18">
        <f t="shared" si="27"/>
        <v>1.1246485473289598</v>
      </c>
      <c r="O51" s="18">
        <f t="shared" si="28"/>
        <v>5.2301255230125521E-2</v>
      </c>
    </row>
    <row r="52" spans="1:15" ht="15" x14ac:dyDescent="0.25">
      <c r="A52" s="16" t="s">
        <v>9</v>
      </c>
      <c r="B52" s="22"/>
      <c r="C52" s="19">
        <f t="shared" si="16"/>
        <v>2.8213969605735749</v>
      </c>
      <c r="D52" s="18">
        <f t="shared" si="17"/>
        <v>0</v>
      </c>
      <c r="E52" s="18">
        <f t="shared" si="18"/>
        <v>0</v>
      </c>
      <c r="F52" s="18">
        <f t="shared" si="19"/>
        <v>3.9489012182360259E-3</v>
      </c>
      <c r="G52" s="18">
        <f t="shared" si="20"/>
        <v>2.2106775726760254E-3</v>
      </c>
      <c r="H52" s="18">
        <f t="shared" si="21"/>
        <v>0.41701698335295107</v>
      </c>
      <c r="I52" s="18">
        <f t="shared" si="22"/>
        <v>0.12257809410834322</v>
      </c>
      <c r="J52" s="18">
        <f t="shared" si="23"/>
        <v>4.6070219212261625</v>
      </c>
      <c r="K52" s="18">
        <f t="shared" si="24"/>
        <v>21.472617375908175</v>
      </c>
      <c r="L52" s="18">
        <f t="shared" si="25"/>
        <v>0.14970059880239522</v>
      </c>
      <c r="M52" s="18">
        <f t="shared" si="26"/>
        <v>0</v>
      </c>
      <c r="N52" s="18">
        <f t="shared" si="27"/>
        <v>2.4367385192127462</v>
      </c>
      <c r="O52" s="18">
        <f t="shared" si="28"/>
        <v>0.15690376569037656</v>
      </c>
    </row>
    <row r="53" spans="1:15" ht="15" x14ac:dyDescent="0.25">
      <c r="A53" s="16" t="s">
        <v>56</v>
      </c>
      <c r="B53" s="22"/>
      <c r="C53" s="19">
        <f t="shared" si="16"/>
        <v>0.22554772213887589</v>
      </c>
      <c r="D53" s="18">
        <f t="shared" si="17"/>
        <v>0</v>
      </c>
      <c r="E53" s="18">
        <f t="shared" si="18"/>
        <v>0</v>
      </c>
      <c r="F53" s="18">
        <f t="shared" si="19"/>
        <v>1.1846703654708078E-2</v>
      </c>
      <c r="G53" s="18">
        <f t="shared" si="20"/>
        <v>2.6528130872112303E-2</v>
      </c>
      <c r="H53" s="18">
        <f t="shared" si="21"/>
        <v>6.726080376660501E-2</v>
      </c>
      <c r="I53" s="18">
        <f t="shared" si="22"/>
        <v>0</v>
      </c>
      <c r="J53" s="18">
        <f t="shared" si="23"/>
        <v>0</v>
      </c>
      <c r="K53" s="18">
        <f t="shared" si="24"/>
        <v>0</v>
      </c>
      <c r="L53" s="18">
        <f t="shared" si="25"/>
        <v>14.221556886227546</v>
      </c>
      <c r="M53" s="18">
        <f t="shared" si="26"/>
        <v>78.059701492537314</v>
      </c>
      <c r="N53" s="18">
        <f t="shared" si="27"/>
        <v>0.37488284910965325</v>
      </c>
      <c r="O53" s="18">
        <f t="shared" si="28"/>
        <v>0</v>
      </c>
    </row>
    <row r="54" spans="1:15" ht="15" x14ac:dyDescent="0.25">
      <c r="A54" s="16" t="s">
        <v>10</v>
      </c>
      <c r="B54" s="22"/>
      <c r="C54" s="19">
        <f t="shared" si="16"/>
        <v>0.14045471787739089</v>
      </c>
      <c r="D54" s="18">
        <f t="shared" si="17"/>
        <v>0</v>
      </c>
      <c r="E54" s="18">
        <f t="shared" si="18"/>
        <v>0</v>
      </c>
      <c r="F54" s="18">
        <f t="shared" si="19"/>
        <v>5.9233518273540389E-3</v>
      </c>
      <c r="G54" s="18">
        <f t="shared" si="20"/>
        <v>0</v>
      </c>
      <c r="H54" s="18">
        <f t="shared" si="21"/>
        <v>3.3630401883302505E-2</v>
      </c>
      <c r="I54" s="18">
        <f t="shared" si="22"/>
        <v>3.9541320680110716E-3</v>
      </c>
      <c r="J54" s="18">
        <f t="shared" si="23"/>
        <v>8.0199607913027979E-2</v>
      </c>
      <c r="K54" s="18">
        <f t="shared" si="24"/>
        <v>0</v>
      </c>
      <c r="L54" s="18">
        <f t="shared" si="25"/>
        <v>1.347305389221557</v>
      </c>
      <c r="M54" s="18">
        <f t="shared" si="26"/>
        <v>19.253731343283579</v>
      </c>
      <c r="N54" s="18">
        <f t="shared" si="27"/>
        <v>20.805998125585752</v>
      </c>
      <c r="O54" s="18">
        <f t="shared" si="28"/>
        <v>0.99372384937238489</v>
      </c>
    </row>
    <row r="55" spans="1:15" ht="15" x14ac:dyDescent="0.25">
      <c r="A55" s="16" t="s">
        <v>57</v>
      </c>
      <c r="B55" s="22"/>
      <c r="C55" s="19">
        <f t="shared" si="16"/>
        <v>0.48663629746327158</v>
      </c>
      <c r="D55" s="18">
        <f t="shared" si="17"/>
        <v>0</v>
      </c>
      <c r="E55" s="18">
        <f t="shared" si="18"/>
        <v>0</v>
      </c>
      <c r="F55" s="18">
        <f t="shared" si="19"/>
        <v>0</v>
      </c>
      <c r="G55" s="18">
        <f t="shared" si="20"/>
        <v>0</v>
      </c>
      <c r="H55" s="18">
        <f t="shared" si="21"/>
        <v>2.0178241129981501E-2</v>
      </c>
      <c r="I55" s="18">
        <f t="shared" si="22"/>
        <v>3.9541320680110716E-3</v>
      </c>
      <c r="J55" s="18">
        <f t="shared" si="23"/>
        <v>8.9110675458919972E-2</v>
      </c>
      <c r="K55" s="18">
        <f t="shared" si="24"/>
        <v>6.1053788387569448E-3</v>
      </c>
      <c r="L55" s="18">
        <f t="shared" si="25"/>
        <v>0.29940119760479045</v>
      </c>
      <c r="M55" s="18">
        <f t="shared" si="26"/>
        <v>0.74626865671641784</v>
      </c>
      <c r="N55" s="18">
        <f t="shared" si="27"/>
        <v>20.899718837863169</v>
      </c>
      <c r="O55" s="18">
        <f t="shared" si="28"/>
        <v>60.930962343096226</v>
      </c>
    </row>
    <row r="56" spans="1:15" ht="15" x14ac:dyDescent="0.25">
      <c r="A56" s="16" t="s">
        <v>11</v>
      </c>
      <c r="B56" s="22"/>
      <c r="C56" s="19">
        <f t="shared" si="16"/>
        <v>0.28876943213234868</v>
      </c>
      <c r="D56" s="18">
        <f t="shared" si="17"/>
        <v>0</v>
      </c>
      <c r="E56" s="18">
        <f t="shared" si="18"/>
        <v>0</v>
      </c>
      <c r="F56" s="18">
        <f t="shared" si="19"/>
        <v>0</v>
      </c>
      <c r="G56" s="18">
        <f t="shared" si="20"/>
        <v>0</v>
      </c>
      <c r="H56" s="18">
        <f t="shared" si="21"/>
        <v>1.3452160753321001E-2</v>
      </c>
      <c r="I56" s="18">
        <f t="shared" si="22"/>
        <v>0</v>
      </c>
      <c r="J56" s="18">
        <f t="shared" si="23"/>
        <v>0.16931028337194798</v>
      </c>
      <c r="K56" s="18">
        <f t="shared" si="24"/>
        <v>1.221075767751389E-2</v>
      </c>
      <c r="L56" s="18">
        <f t="shared" si="25"/>
        <v>0.14970059880239522</v>
      </c>
      <c r="M56" s="18">
        <f t="shared" si="26"/>
        <v>0.1492537313432836</v>
      </c>
      <c r="N56" s="18">
        <f t="shared" si="27"/>
        <v>7.0290534208059992</v>
      </c>
      <c r="O56" s="18">
        <f t="shared" si="28"/>
        <v>37.761506276150634</v>
      </c>
    </row>
    <row r="57" spans="1:15" ht="15.75" thickBot="1" x14ac:dyDescent="0.3">
      <c r="A57" s="25" t="s">
        <v>13</v>
      </c>
      <c r="B57" s="26"/>
      <c r="C57" s="27">
        <f>C18/C18*100</f>
        <v>100</v>
      </c>
      <c r="D57" s="27">
        <f t="shared" si="17"/>
        <v>100</v>
      </c>
      <c r="E57" s="27">
        <f t="shared" si="18"/>
        <v>100</v>
      </c>
      <c r="F57" s="27">
        <f t="shared" si="19"/>
        <v>100</v>
      </c>
      <c r="G57" s="27">
        <f t="shared" si="20"/>
        <v>100</v>
      </c>
      <c r="H57" s="27">
        <f t="shared" si="21"/>
        <v>100</v>
      </c>
      <c r="I57" s="27">
        <f t="shared" si="22"/>
        <v>100</v>
      </c>
      <c r="J57" s="27">
        <f t="shared" si="23"/>
        <v>100</v>
      </c>
      <c r="K57" s="27">
        <f t="shared" si="24"/>
        <v>100</v>
      </c>
      <c r="L57" s="27">
        <f t="shared" si="25"/>
        <v>100</v>
      </c>
      <c r="M57" s="27">
        <f t="shared" si="26"/>
        <v>100</v>
      </c>
      <c r="N57" s="27">
        <f t="shared" si="27"/>
        <v>100</v>
      </c>
      <c r="O57" s="27">
        <f t="shared" si="28"/>
        <v>100</v>
      </c>
    </row>
    <row r="58" spans="1:15" x14ac:dyDescent="0.2">
      <c r="A58" s="7" t="s">
        <v>47</v>
      </c>
      <c r="B58" s="7"/>
    </row>
    <row r="59" spans="1:15" x14ac:dyDescent="0.2">
      <c r="A59" s="7"/>
      <c r="B59" s="7"/>
    </row>
    <row r="60" spans="1:15" x14ac:dyDescent="0.2">
      <c r="A60" s="7"/>
      <c r="B60" s="7"/>
    </row>
    <row r="61" spans="1:15" x14ac:dyDescent="0.2">
      <c r="A61" s="7"/>
      <c r="B61" s="7"/>
    </row>
    <row r="62" spans="1:15" x14ac:dyDescent="0.2">
      <c r="A62" s="7"/>
      <c r="B62" s="7"/>
    </row>
    <row r="63" spans="1:15" x14ac:dyDescent="0.2">
      <c r="A63" s="7"/>
      <c r="B63" s="7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3"/>
  <sheetViews>
    <sheetView showGridLines="0" topLeftCell="A4" workbookViewId="0">
      <selection activeCell="F15" sqref="F15"/>
    </sheetView>
  </sheetViews>
  <sheetFormatPr defaultColWidth="9.140625" defaultRowHeight="14.25" x14ac:dyDescent="0.2"/>
  <cols>
    <col min="1" max="1" width="11.42578125" style="2" customWidth="1"/>
    <col min="2" max="15" width="12.140625" style="2" customWidth="1"/>
    <col min="16" max="16" width="12.5703125" style="2" customWidth="1"/>
    <col min="17" max="16384" width="9.140625" style="2"/>
  </cols>
  <sheetData>
    <row r="1" spans="1:16" ht="33.75" customHeight="1" x14ac:dyDescent="0.2"/>
    <row r="2" spans="1:16" ht="24" customHeight="1" x14ac:dyDescent="0.25">
      <c r="A2" s="65" t="s">
        <v>44</v>
      </c>
      <c r="B2" s="60" t="s">
        <v>41</v>
      </c>
      <c r="C2" s="3"/>
      <c r="D2" s="3"/>
      <c r="E2" s="3"/>
    </row>
    <row r="3" spans="1:16" ht="16.5" customHeight="1" thickBot="1" x14ac:dyDescent="0.55000000000000004">
      <c r="A3" s="52"/>
      <c r="B3" s="10" t="s">
        <v>48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17"/>
      <c r="O3" s="6" t="s">
        <v>2</v>
      </c>
    </row>
    <row r="4" spans="1:16" ht="32.25" customHeight="1" x14ac:dyDescent="0.2">
      <c r="A4" s="74" t="s">
        <v>64</v>
      </c>
      <c r="B4" s="74"/>
      <c r="C4" s="55"/>
      <c r="D4" s="55"/>
      <c r="E4" s="55"/>
      <c r="F4" s="55"/>
      <c r="G4" s="55"/>
      <c r="H4" s="63" t="s">
        <v>49</v>
      </c>
      <c r="I4" s="55"/>
      <c r="J4" s="55"/>
      <c r="K4" s="55"/>
      <c r="L4" s="55"/>
      <c r="M4" s="55"/>
      <c r="N4" s="55"/>
      <c r="O4" s="55"/>
    </row>
    <row r="5" spans="1:16" ht="43.5" customHeight="1" x14ac:dyDescent="0.2">
      <c r="A5" s="72" t="s">
        <v>72</v>
      </c>
      <c r="B5" s="75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54</v>
      </c>
      <c r="I5" s="24" t="s">
        <v>8</v>
      </c>
      <c r="J5" s="24" t="s">
        <v>55</v>
      </c>
      <c r="K5" s="24" t="s">
        <v>9</v>
      </c>
      <c r="L5" s="24" t="s">
        <v>56</v>
      </c>
      <c r="M5" s="24" t="s">
        <v>10</v>
      </c>
      <c r="N5" s="24" t="s">
        <v>57</v>
      </c>
      <c r="O5" s="24" t="s">
        <v>11</v>
      </c>
    </row>
    <row r="6" spans="1:16" ht="14.25" customHeight="1" x14ac:dyDescent="0.2">
      <c r="A6" s="16" t="s">
        <v>51</v>
      </c>
      <c r="B6" s="48">
        <v>84477</v>
      </c>
      <c r="C6" s="49">
        <v>80322</v>
      </c>
      <c r="D6" s="50">
        <v>2404</v>
      </c>
      <c r="E6" s="50">
        <v>77820</v>
      </c>
      <c r="F6" s="50"/>
      <c r="G6" s="51"/>
      <c r="H6" s="50"/>
      <c r="I6" s="51"/>
      <c r="J6" s="51"/>
      <c r="K6" s="51"/>
      <c r="L6" s="50"/>
      <c r="M6" s="51"/>
      <c r="N6" s="51"/>
      <c r="O6" s="51"/>
    </row>
    <row r="7" spans="1:16" x14ac:dyDescent="0.2">
      <c r="A7" s="16" t="s">
        <v>52</v>
      </c>
      <c r="B7" s="48">
        <v>82096</v>
      </c>
      <c r="C7" s="49">
        <v>70236</v>
      </c>
      <c r="D7" s="50"/>
      <c r="E7" s="50">
        <v>2564</v>
      </c>
      <c r="F7" s="50">
        <v>49001</v>
      </c>
      <c r="G7" s="50"/>
      <c r="H7" s="50">
        <v>18066</v>
      </c>
      <c r="I7" s="50"/>
      <c r="J7" s="50"/>
      <c r="K7" s="51"/>
      <c r="L7" s="50">
        <v>482</v>
      </c>
      <c r="M7" s="51"/>
      <c r="N7" s="51"/>
      <c r="O7" s="51"/>
      <c r="P7" s="76"/>
    </row>
    <row r="8" spans="1:16" x14ac:dyDescent="0.2">
      <c r="A8" s="16" t="s">
        <v>53</v>
      </c>
      <c r="B8" s="48">
        <v>52177</v>
      </c>
      <c r="C8" s="49">
        <v>49254</v>
      </c>
      <c r="D8" s="51"/>
      <c r="E8" s="51"/>
      <c r="F8" s="50">
        <v>2880</v>
      </c>
      <c r="G8" s="50">
        <v>42525</v>
      </c>
      <c r="H8" s="50">
        <v>3623</v>
      </c>
      <c r="I8" s="50">
        <v>77</v>
      </c>
      <c r="J8" s="50">
        <v>27</v>
      </c>
      <c r="K8" s="51"/>
      <c r="L8" s="50">
        <v>103</v>
      </c>
      <c r="M8" s="50">
        <v>17</v>
      </c>
      <c r="N8" s="50">
        <v>2</v>
      </c>
      <c r="O8" s="51"/>
    </row>
    <row r="9" spans="1:16" x14ac:dyDescent="0.2">
      <c r="A9" s="16" t="s">
        <v>0</v>
      </c>
      <c r="B9" s="48">
        <v>45903</v>
      </c>
      <c r="C9" s="49">
        <v>11962</v>
      </c>
      <c r="D9" s="51"/>
      <c r="E9" s="51"/>
      <c r="F9" s="50">
        <v>4</v>
      </c>
      <c r="G9" s="50">
        <v>3174</v>
      </c>
      <c r="H9" s="50">
        <v>501</v>
      </c>
      <c r="I9" s="50">
        <v>27</v>
      </c>
      <c r="J9" s="50">
        <v>7738</v>
      </c>
      <c r="K9" s="50">
        <v>15</v>
      </c>
      <c r="L9" s="50">
        <v>11</v>
      </c>
      <c r="M9" s="50">
        <v>1</v>
      </c>
      <c r="N9" s="50">
        <v>491</v>
      </c>
      <c r="O9" s="51"/>
    </row>
    <row r="10" spans="1:16" x14ac:dyDescent="0.2">
      <c r="A10" s="16" t="s">
        <v>54</v>
      </c>
      <c r="B10" s="48">
        <v>38136</v>
      </c>
      <c r="C10" s="49">
        <v>29791</v>
      </c>
      <c r="D10" s="51"/>
      <c r="E10" s="51"/>
      <c r="F10" s="50">
        <v>248</v>
      </c>
      <c r="G10" s="50">
        <v>25</v>
      </c>
      <c r="H10" s="50">
        <v>7196</v>
      </c>
      <c r="I10" s="50">
        <v>19152</v>
      </c>
      <c r="J10" s="50">
        <v>3091</v>
      </c>
      <c r="K10" s="50">
        <v>36</v>
      </c>
      <c r="L10" s="50">
        <v>36</v>
      </c>
      <c r="M10" s="50">
        <v>1</v>
      </c>
      <c r="N10" s="50">
        <v>5</v>
      </c>
      <c r="O10" s="51"/>
    </row>
    <row r="11" spans="1:16" x14ac:dyDescent="0.2">
      <c r="A11" s="16" t="s">
        <v>8</v>
      </c>
      <c r="B11" s="48">
        <v>25709</v>
      </c>
      <c r="C11" s="49">
        <v>16815</v>
      </c>
      <c r="D11" s="51"/>
      <c r="E11" s="51"/>
      <c r="F11" s="50">
        <v>48</v>
      </c>
      <c r="G11" s="50">
        <v>5</v>
      </c>
      <c r="H11" s="50">
        <v>719</v>
      </c>
      <c r="I11" s="50">
        <v>6249</v>
      </c>
      <c r="J11" s="50">
        <v>9608</v>
      </c>
      <c r="K11" s="50">
        <v>116</v>
      </c>
      <c r="L11" s="50">
        <v>14</v>
      </c>
      <c r="M11" s="51"/>
      <c r="N11" s="50">
        <v>55</v>
      </c>
      <c r="O11" s="50">
        <v>1</v>
      </c>
    </row>
    <row r="12" spans="1:16" x14ac:dyDescent="0.2">
      <c r="A12" s="16" t="s">
        <v>55</v>
      </c>
      <c r="B12" s="48">
        <v>32063</v>
      </c>
      <c r="C12" s="49">
        <v>28098</v>
      </c>
      <c r="D12" s="51"/>
      <c r="E12" s="51"/>
      <c r="F12" s="50">
        <v>2</v>
      </c>
      <c r="G12" s="50">
        <v>4</v>
      </c>
      <c r="H12" s="50">
        <v>98</v>
      </c>
      <c r="I12" s="50">
        <v>20</v>
      </c>
      <c r="J12" s="50">
        <v>2456</v>
      </c>
      <c r="K12" s="50">
        <v>25505</v>
      </c>
      <c r="L12" s="51"/>
      <c r="M12" s="51"/>
      <c r="N12" s="50">
        <v>12</v>
      </c>
      <c r="O12" s="50">
        <v>1</v>
      </c>
    </row>
    <row r="13" spans="1:16" x14ac:dyDescent="0.2">
      <c r="A13" s="16" t="s">
        <v>9</v>
      </c>
      <c r="B13" s="48">
        <v>33347</v>
      </c>
      <c r="C13" s="49">
        <v>8904</v>
      </c>
      <c r="D13" s="51"/>
      <c r="E13" s="51"/>
      <c r="F13" s="50">
        <v>1</v>
      </c>
      <c r="G13" s="51"/>
      <c r="H13" s="50">
        <v>154</v>
      </c>
      <c r="I13" s="50">
        <v>24</v>
      </c>
      <c r="J13" s="50">
        <v>1149</v>
      </c>
      <c r="K13" s="50">
        <v>7529</v>
      </c>
      <c r="L13" s="51"/>
      <c r="M13" s="50">
        <v>1</v>
      </c>
      <c r="N13" s="50">
        <v>44</v>
      </c>
      <c r="O13" s="50">
        <v>2</v>
      </c>
    </row>
    <row r="14" spans="1:16" x14ac:dyDescent="0.2">
      <c r="A14" s="16" t="s">
        <v>56</v>
      </c>
      <c r="B14" s="48">
        <v>781</v>
      </c>
      <c r="C14" s="49">
        <v>638</v>
      </c>
      <c r="D14" s="51"/>
      <c r="E14" s="51"/>
      <c r="F14" s="50">
        <v>9</v>
      </c>
      <c r="G14" s="50">
        <v>13</v>
      </c>
      <c r="H14" s="50">
        <v>16</v>
      </c>
      <c r="I14" s="50">
        <v>2</v>
      </c>
      <c r="J14" s="51"/>
      <c r="K14" s="51"/>
      <c r="L14" s="50">
        <v>85</v>
      </c>
      <c r="M14" s="50">
        <v>499</v>
      </c>
      <c r="N14" s="50">
        <v>13</v>
      </c>
      <c r="O14" s="50">
        <v>1</v>
      </c>
    </row>
    <row r="15" spans="1:16" x14ac:dyDescent="0.2">
      <c r="A15" s="16" t="s">
        <v>10</v>
      </c>
      <c r="B15" s="48">
        <v>664</v>
      </c>
      <c r="C15" s="49">
        <v>464</v>
      </c>
      <c r="D15" s="51"/>
      <c r="E15" s="51"/>
      <c r="F15" s="50">
        <v>2</v>
      </c>
      <c r="G15" s="50">
        <v>8</v>
      </c>
      <c r="H15" s="50">
        <v>11</v>
      </c>
      <c r="I15" s="51"/>
      <c r="J15" s="50">
        <v>40</v>
      </c>
      <c r="K15" s="50">
        <v>1</v>
      </c>
      <c r="L15" s="50">
        <v>8</v>
      </c>
      <c r="M15" s="50">
        <v>135</v>
      </c>
      <c r="N15" s="50">
        <v>252</v>
      </c>
      <c r="O15" s="50">
        <v>7</v>
      </c>
    </row>
    <row r="16" spans="1:16" x14ac:dyDescent="0.2">
      <c r="A16" s="16" t="s">
        <v>57</v>
      </c>
      <c r="B16" s="48">
        <v>1720</v>
      </c>
      <c r="C16" s="49">
        <v>1384</v>
      </c>
      <c r="D16" s="51"/>
      <c r="E16" s="51"/>
      <c r="F16" s="51"/>
      <c r="G16" s="51"/>
      <c r="H16" s="50">
        <v>8</v>
      </c>
      <c r="I16" s="51"/>
      <c r="J16" s="50">
        <v>21</v>
      </c>
      <c r="K16" s="50">
        <v>1</v>
      </c>
      <c r="L16" s="51"/>
      <c r="M16" s="50">
        <v>2</v>
      </c>
      <c r="N16" s="50">
        <v>177</v>
      </c>
      <c r="O16" s="50">
        <v>1175</v>
      </c>
    </row>
    <row r="17" spans="1:15" x14ac:dyDescent="0.2">
      <c r="A17" s="16" t="s">
        <v>11</v>
      </c>
      <c r="B17" s="48">
        <v>1945</v>
      </c>
      <c r="C17" s="49">
        <v>786</v>
      </c>
      <c r="D17" s="51"/>
      <c r="E17" s="51"/>
      <c r="F17" s="51"/>
      <c r="G17" s="51"/>
      <c r="H17" s="50">
        <v>4</v>
      </c>
      <c r="I17" s="50">
        <v>1</v>
      </c>
      <c r="J17" s="50">
        <v>45</v>
      </c>
      <c r="K17" s="50">
        <v>3</v>
      </c>
      <c r="L17" s="50">
        <v>1</v>
      </c>
      <c r="M17" s="50">
        <v>5</v>
      </c>
      <c r="N17" s="50">
        <v>79</v>
      </c>
      <c r="O17" s="50">
        <v>648</v>
      </c>
    </row>
    <row r="18" spans="1:15" ht="15" thickBot="1" x14ac:dyDescent="0.25">
      <c r="A18" s="25" t="s">
        <v>25</v>
      </c>
      <c r="B18" s="30">
        <f>SUM(B6:B17)</f>
        <v>399018</v>
      </c>
      <c r="C18" s="31">
        <f>SUM(C6:C17)</f>
        <v>298654</v>
      </c>
      <c r="D18" s="31">
        <f>SUM(D6:D17)</f>
        <v>2404</v>
      </c>
      <c r="E18" s="31">
        <f t="shared" ref="E18:O18" si="0">SUM(E6:E17)</f>
        <v>80384</v>
      </c>
      <c r="F18" s="31">
        <f t="shared" si="0"/>
        <v>52195</v>
      </c>
      <c r="G18" s="31">
        <f t="shared" si="0"/>
        <v>45754</v>
      </c>
      <c r="H18" s="31">
        <f t="shared" si="0"/>
        <v>30396</v>
      </c>
      <c r="I18" s="31">
        <f t="shared" si="0"/>
        <v>25552</v>
      </c>
      <c r="J18" s="31">
        <f t="shared" si="0"/>
        <v>24175</v>
      </c>
      <c r="K18" s="31">
        <f t="shared" si="0"/>
        <v>33206</v>
      </c>
      <c r="L18" s="31">
        <f t="shared" si="0"/>
        <v>740</v>
      </c>
      <c r="M18" s="31">
        <f t="shared" si="0"/>
        <v>661</v>
      </c>
      <c r="N18" s="31">
        <f t="shared" si="0"/>
        <v>1130</v>
      </c>
      <c r="O18" s="31">
        <f t="shared" si="0"/>
        <v>1835</v>
      </c>
    </row>
    <row r="19" spans="1:15" x14ac:dyDescent="0.2">
      <c r="A19" s="7" t="s">
        <v>47</v>
      </c>
      <c r="B19" s="7"/>
    </row>
    <row r="20" spans="1:15" x14ac:dyDescent="0.2">
      <c r="A20" s="11"/>
    </row>
    <row r="21" spans="1:15" ht="8.25" customHeight="1" x14ac:dyDescent="0.2">
      <c r="A21" s="11"/>
    </row>
    <row r="22" spans="1:15" ht="25.5" customHeight="1" x14ac:dyDescent="0.25">
      <c r="A22" s="65" t="s">
        <v>45</v>
      </c>
      <c r="B22" s="60" t="s">
        <v>42</v>
      </c>
      <c r="C22" s="3"/>
      <c r="D22" s="3"/>
      <c r="E22" s="3"/>
    </row>
    <row r="23" spans="1:15" ht="16.5" customHeight="1" thickBot="1" x14ac:dyDescent="0.55000000000000004">
      <c r="A23" s="56"/>
      <c r="B23" s="10" t="s">
        <v>48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17"/>
      <c r="O23" s="21" t="s">
        <v>3</v>
      </c>
    </row>
    <row r="24" spans="1:15" ht="34.5" customHeight="1" x14ac:dyDescent="0.2">
      <c r="A24" s="74" t="s">
        <v>64</v>
      </c>
      <c r="B24" s="58"/>
      <c r="C24" s="55"/>
      <c r="D24" s="55"/>
      <c r="E24" s="55"/>
      <c r="F24" s="55"/>
      <c r="G24" s="55"/>
      <c r="H24" s="63" t="s">
        <v>49</v>
      </c>
      <c r="I24" s="55"/>
      <c r="J24" s="55"/>
      <c r="K24" s="55"/>
      <c r="L24" s="55"/>
      <c r="M24" s="55"/>
      <c r="N24" s="55"/>
      <c r="O24" s="55"/>
    </row>
    <row r="25" spans="1:15" ht="43.5" customHeight="1" x14ac:dyDescent="0.2">
      <c r="A25" s="72" t="s">
        <v>71</v>
      </c>
      <c r="B25" s="54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54</v>
      </c>
      <c r="I25" s="24" t="s">
        <v>8</v>
      </c>
      <c r="J25" s="24" t="s">
        <v>55</v>
      </c>
      <c r="K25" s="24" t="s">
        <v>9</v>
      </c>
      <c r="L25" s="24" t="s">
        <v>56</v>
      </c>
      <c r="M25" s="24" t="s">
        <v>10</v>
      </c>
      <c r="N25" s="24" t="s">
        <v>57</v>
      </c>
      <c r="O25" s="24" t="s">
        <v>11</v>
      </c>
    </row>
    <row r="26" spans="1:15" ht="14.25" customHeight="1" x14ac:dyDescent="0.2">
      <c r="A26" s="16" t="s">
        <v>51</v>
      </c>
      <c r="B26" s="12">
        <f t="shared" ref="B26:B38" si="1">B6/B6*100</f>
        <v>100</v>
      </c>
      <c r="C26" s="19">
        <f t="shared" ref="C26:C38" si="2">SUM(D26:O26)</f>
        <v>94.965493566296146</v>
      </c>
      <c r="D26" s="18">
        <f>D6/$B$6*100</f>
        <v>2.8457449956792975</v>
      </c>
      <c r="E26" s="18">
        <f t="shared" ref="E26:O26" si="3">E6/$B$6*100</f>
        <v>92.119748570616849</v>
      </c>
      <c r="F26" s="18">
        <f t="shared" si="3"/>
        <v>0</v>
      </c>
      <c r="G26" s="18">
        <f t="shared" si="3"/>
        <v>0</v>
      </c>
      <c r="H26" s="18">
        <f t="shared" si="3"/>
        <v>0</v>
      </c>
      <c r="I26" s="18">
        <f t="shared" si="3"/>
        <v>0</v>
      </c>
      <c r="J26" s="18">
        <f t="shared" si="3"/>
        <v>0</v>
      </c>
      <c r="K26" s="18">
        <f t="shared" si="3"/>
        <v>0</v>
      </c>
      <c r="L26" s="18">
        <f t="shared" si="3"/>
        <v>0</v>
      </c>
      <c r="M26" s="18">
        <f t="shared" si="3"/>
        <v>0</v>
      </c>
      <c r="N26" s="18">
        <f t="shared" si="3"/>
        <v>0</v>
      </c>
      <c r="O26" s="18">
        <f t="shared" si="3"/>
        <v>0</v>
      </c>
    </row>
    <row r="27" spans="1:15" x14ac:dyDescent="0.2">
      <c r="A27" s="16" t="s">
        <v>52</v>
      </c>
      <c r="B27" s="12">
        <f t="shared" si="1"/>
        <v>100</v>
      </c>
      <c r="C27" s="19">
        <f t="shared" si="2"/>
        <v>85.403673747807446</v>
      </c>
      <c r="D27" s="18">
        <f t="shared" ref="D27:O27" si="4">D7/$B$7*100</f>
        <v>0</v>
      </c>
      <c r="E27" s="18">
        <f t="shared" si="4"/>
        <v>3.1231728707854218</v>
      </c>
      <c r="F27" s="18">
        <f t="shared" si="4"/>
        <v>59.687439095692852</v>
      </c>
      <c r="G27" s="18">
        <f t="shared" si="4"/>
        <v>0</v>
      </c>
      <c r="H27" s="18">
        <f t="shared" si="4"/>
        <v>22.005944260378094</v>
      </c>
      <c r="I27" s="18">
        <f t="shared" si="4"/>
        <v>0</v>
      </c>
      <c r="J27" s="18">
        <f t="shared" si="4"/>
        <v>0</v>
      </c>
      <c r="K27" s="18">
        <f t="shared" si="4"/>
        <v>0</v>
      </c>
      <c r="L27" s="18">
        <f t="shared" si="4"/>
        <v>0.58711752095108172</v>
      </c>
      <c r="M27" s="18">
        <f t="shared" si="4"/>
        <v>0</v>
      </c>
      <c r="N27" s="18">
        <f t="shared" si="4"/>
        <v>0</v>
      </c>
      <c r="O27" s="18">
        <f t="shared" si="4"/>
        <v>0</v>
      </c>
    </row>
    <row r="28" spans="1:15" x14ac:dyDescent="0.2">
      <c r="A28" s="16" t="s">
        <v>53</v>
      </c>
      <c r="B28" s="12">
        <f t="shared" si="1"/>
        <v>100</v>
      </c>
      <c r="C28" s="19">
        <f t="shared" si="2"/>
        <v>94.397914790041568</v>
      </c>
      <c r="D28" s="18">
        <f t="shared" ref="D28:O28" si="5">D8/$B$8*100</f>
        <v>0</v>
      </c>
      <c r="E28" s="18">
        <f t="shared" si="5"/>
        <v>0</v>
      </c>
      <c r="F28" s="18">
        <f t="shared" si="5"/>
        <v>5.5196734193226904</v>
      </c>
      <c r="G28" s="18">
        <f t="shared" si="5"/>
        <v>81.501427832186593</v>
      </c>
      <c r="H28" s="18">
        <f t="shared" si="5"/>
        <v>6.9436724993771195</v>
      </c>
      <c r="I28" s="18">
        <f t="shared" si="5"/>
        <v>0.14757460183605803</v>
      </c>
      <c r="J28" s="18">
        <f t="shared" si="5"/>
        <v>5.1746938306150222E-2</v>
      </c>
      <c r="K28" s="18">
        <f t="shared" si="5"/>
        <v>0</v>
      </c>
      <c r="L28" s="18">
        <f t="shared" si="5"/>
        <v>0.19740498687161012</v>
      </c>
      <c r="M28" s="18">
        <f t="shared" si="5"/>
        <v>3.2581405600168659E-2</v>
      </c>
      <c r="N28" s="18">
        <f t="shared" si="5"/>
        <v>3.8331065411963128E-3</v>
      </c>
      <c r="O28" s="18">
        <f t="shared" si="5"/>
        <v>0</v>
      </c>
    </row>
    <row r="29" spans="1:15" x14ac:dyDescent="0.2">
      <c r="A29" s="16" t="s">
        <v>0</v>
      </c>
      <c r="B29" s="12">
        <f t="shared" si="1"/>
        <v>100</v>
      </c>
      <c r="C29" s="19">
        <f t="shared" si="2"/>
        <v>26.059298956495223</v>
      </c>
      <c r="D29" s="18">
        <f t="shared" ref="D29:O29" si="6">D9/$B$9*100</f>
        <v>0</v>
      </c>
      <c r="E29" s="18">
        <f t="shared" si="6"/>
        <v>0</v>
      </c>
      <c r="F29" s="18">
        <f t="shared" si="6"/>
        <v>8.7140274056161909E-3</v>
      </c>
      <c r="G29" s="18">
        <f t="shared" si="6"/>
        <v>6.9145807463564468</v>
      </c>
      <c r="H29" s="18">
        <f t="shared" si="6"/>
        <v>1.0914319325534279</v>
      </c>
      <c r="I29" s="18">
        <f t="shared" si="6"/>
        <v>5.8819684987909293E-2</v>
      </c>
      <c r="J29" s="18">
        <f t="shared" si="6"/>
        <v>16.857286016164522</v>
      </c>
      <c r="K29" s="18">
        <f t="shared" si="6"/>
        <v>3.2677602771060715E-2</v>
      </c>
      <c r="L29" s="18">
        <f t="shared" si="6"/>
        <v>2.3963575365444526E-2</v>
      </c>
      <c r="M29" s="18">
        <f t="shared" si="6"/>
        <v>2.1785068514040477E-3</v>
      </c>
      <c r="N29" s="18">
        <f t="shared" si="6"/>
        <v>1.0696468640393875</v>
      </c>
      <c r="O29" s="18">
        <f t="shared" si="6"/>
        <v>0</v>
      </c>
    </row>
    <row r="30" spans="1:15" x14ac:dyDescent="0.2">
      <c r="A30" s="16" t="s">
        <v>54</v>
      </c>
      <c r="B30" s="12">
        <f t="shared" si="1"/>
        <v>100</v>
      </c>
      <c r="C30" s="19">
        <f t="shared" si="2"/>
        <v>78.115166771554442</v>
      </c>
      <c r="D30" s="18">
        <f t="shared" ref="D30:O30" si="7">D10/$B$10*100</f>
        <v>0</v>
      </c>
      <c r="E30" s="18">
        <f t="shared" si="7"/>
        <v>0</v>
      </c>
      <c r="F30" s="18">
        <f t="shared" si="7"/>
        <v>0.6503041745332494</v>
      </c>
      <c r="G30" s="18">
        <f t="shared" si="7"/>
        <v>6.5554856303754974E-2</v>
      </c>
      <c r="H30" s="18">
        <f t="shared" si="7"/>
        <v>18.869309838472834</v>
      </c>
      <c r="I30" s="18">
        <f t="shared" si="7"/>
        <v>50.220264317180622</v>
      </c>
      <c r="J30" s="18">
        <f t="shared" si="7"/>
        <v>8.1052024333962667</v>
      </c>
      <c r="K30" s="18">
        <f t="shared" si="7"/>
        <v>9.4398993077407178E-2</v>
      </c>
      <c r="L30" s="18">
        <f t="shared" si="7"/>
        <v>9.4398993077407178E-2</v>
      </c>
      <c r="M30" s="18">
        <f t="shared" si="7"/>
        <v>2.6221942521501992E-3</v>
      </c>
      <c r="N30" s="18">
        <f t="shared" si="7"/>
        <v>1.3110971260750996E-2</v>
      </c>
      <c r="O30" s="18">
        <f t="shared" si="7"/>
        <v>0</v>
      </c>
    </row>
    <row r="31" spans="1:15" x14ac:dyDescent="0.2">
      <c r="A31" s="16" t="s">
        <v>8</v>
      </c>
      <c r="B31" s="12">
        <f t="shared" si="1"/>
        <v>100</v>
      </c>
      <c r="C31" s="19">
        <f t="shared" si="2"/>
        <v>65.405111050604859</v>
      </c>
      <c r="D31" s="18">
        <f t="shared" ref="D31:O31" si="8">D11/$B$11*100</f>
        <v>0</v>
      </c>
      <c r="E31" s="18">
        <f t="shared" si="8"/>
        <v>0</v>
      </c>
      <c r="F31" s="18">
        <f t="shared" si="8"/>
        <v>0.18670504492590145</v>
      </c>
      <c r="G31" s="18">
        <f t="shared" si="8"/>
        <v>1.9448442179781398E-2</v>
      </c>
      <c r="H31" s="18">
        <f t="shared" si="8"/>
        <v>2.796685985452565</v>
      </c>
      <c r="I31" s="18">
        <f t="shared" si="8"/>
        <v>24.306663036290793</v>
      </c>
      <c r="J31" s="18">
        <f t="shared" si="8"/>
        <v>37.372126492667938</v>
      </c>
      <c r="K31" s="18">
        <f t="shared" si="8"/>
        <v>0.45120385857092843</v>
      </c>
      <c r="L31" s="18">
        <f t="shared" si="8"/>
        <v>5.4455638103387924E-2</v>
      </c>
      <c r="M31" s="18">
        <f t="shared" si="8"/>
        <v>0</v>
      </c>
      <c r="N31" s="18">
        <f t="shared" si="8"/>
        <v>0.21393286397759537</v>
      </c>
      <c r="O31" s="18">
        <f t="shared" si="8"/>
        <v>3.8896884359562794E-3</v>
      </c>
    </row>
    <row r="32" spans="1:15" x14ac:dyDescent="0.2">
      <c r="A32" s="16" t="s">
        <v>55</v>
      </c>
      <c r="B32" s="12">
        <f t="shared" si="1"/>
        <v>100</v>
      </c>
      <c r="C32" s="19">
        <f t="shared" si="2"/>
        <v>87.633721111561599</v>
      </c>
      <c r="D32" s="18">
        <f t="shared" ref="D32:O32" si="9">D12/$B$12*100</f>
        <v>0</v>
      </c>
      <c r="E32" s="18">
        <f t="shared" si="9"/>
        <v>0</v>
      </c>
      <c r="F32" s="18">
        <f t="shared" si="9"/>
        <v>6.2377194897545452E-3</v>
      </c>
      <c r="G32" s="18">
        <f t="shared" si="9"/>
        <v>1.247543897950909E-2</v>
      </c>
      <c r="H32" s="18">
        <f t="shared" si="9"/>
        <v>0.30564825499797271</v>
      </c>
      <c r="I32" s="18">
        <f t="shared" si="9"/>
        <v>6.2377194897545458E-2</v>
      </c>
      <c r="J32" s="18">
        <f t="shared" si="9"/>
        <v>7.6599195334185826</v>
      </c>
      <c r="K32" s="18">
        <f t="shared" si="9"/>
        <v>79.546517793094836</v>
      </c>
      <c r="L32" s="18">
        <f t="shared" si="9"/>
        <v>0</v>
      </c>
      <c r="M32" s="18">
        <f t="shared" si="9"/>
        <v>0</v>
      </c>
      <c r="N32" s="18">
        <f t="shared" si="9"/>
        <v>3.7426316938527271E-2</v>
      </c>
      <c r="O32" s="18">
        <f t="shared" si="9"/>
        <v>3.1188597448772726E-3</v>
      </c>
    </row>
    <row r="33" spans="1:16" x14ac:dyDescent="0.2">
      <c r="A33" s="16" t="s">
        <v>9</v>
      </c>
      <c r="B33" s="12">
        <f t="shared" si="1"/>
        <v>100</v>
      </c>
      <c r="C33" s="19">
        <f t="shared" si="2"/>
        <v>26.701052568446936</v>
      </c>
      <c r="D33" s="18">
        <f t="shared" ref="D33:O33" si="10">D13/$B$13*100</f>
        <v>0</v>
      </c>
      <c r="E33" s="18">
        <f t="shared" si="10"/>
        <v>0</v>
      </c>
      <c r="F33" s="18">
        <f t="shared" si="10"/>
        <v>2.9987705040933218E-3</v>
      </c>
      <c r="G33" s="18">
        <f t="shared" si="10"/>
        <v>0</v>
      </c>
      <c r="H33" s="18">
        <f t="shared" si="10"/>
        <v>0.46181065763037149</v>
      </c>
      <c r="I33" s="18">
        <f t="shared" si="10"/>
        <v>7.1970492098239719E-2</v>
      </c>
      <c r="J33" s="18">
        <f t="shared" si="10"/>
        <v>3.4455873092032268</v>
      </c>
      <c r="K33" s="18">
        <f t="shared" si="10"/>
        <v>22.577743125318619</v>
      </c>
      <c r="L33" s="18">
        <f t="shared" si="10"/>
        <v>0</v>
      </c>
      <c r="M33" s="18">
        <f t="shared" si="10"/>
        <v>2.9987705040933218E-3</v>
      </c>
      <c r="N33" s="18">
        <f t="shared" si="10"/>
        <v>0.13194590218010616</v>
      </c>
      <c r="O33" s="18">
        <f t="shared" si="10"/>
        <v>5.9975410081866435E-3</v>
      </c>
    </row>
    <row r="34" spans="1:16" x14ac:dyDescent="0.2">
      <c r="A34" s="16" t="s">
        <v>56</v>
      </c>
      <c r="B34" s="12">
        <f t="shared" si="1"/>
        <v>100</v>
      </c>
      <c r="C34" s="19">
        <f t="shared" si="2"/>
        <v>81.690140845070417</v>
      </c>
      <c r="D34" s="18">
        <f t="shared" ref="D34:O34" si="11">D14/$B$14*100</f>
        <v>0</v>
      </c>
      <c r="E34" s="18">
        <f t="shared" si="11"/>
        <v>0</v>
      </c>
      <c r="F34" s="18">
        <f t="shared" si="11"/>
        <v>1.1523687580025608</v>
      </c>
      <c r="G34" s="18">
        <f t="shared" si="11"/>
        <v>1.6645326504481435</v>
      </c>
      <c r="H34" s="18">
        <f t="shared" si="11"/>
        <v>2.0486555697823303</v>
      </c>
      <c r="I34" s="18">
        <f t="shared" si="11"/>
        <v>0.25608194622279129</v>
      </c>
      <c r="J34" s="18">
        <f t="shared" si="11"/>
        <v>0</v>
      </c>
      <c r="K34" s="18">
        <f t="shared" si="11"/>
        <v>0</v>
      </c>
      <c r="L34" s="18">
        <f t="shared" si="11"/>
        <v>10.883482714468631</v>
      </c>
      <c r="M34" s="18">
        <f t="shared" si="11"/>
        <v>63.892445582586433</v>
      </c>
      <c r="N34" s="18">
        <f t="shared" si="11"/>
        <v>1.6645326504481435</v>
      </c>
      <c r="O34" s="18">
        <f t="shared" si="11"/>
        <v>0.12804097311139565</v>
      </c>
    </row>
    <row r="35" spans="1:16" x14ac:dyDescent="0.2">
      <c r="A35" s="16" t="s">
        <v>10</v>
      </c>
      <c r="B35" s="12">
        <f t="shared" si="1"/>
        <v>100</v>
      </c>
      <c r="C35" s="19">
        <f t="shared" si="2"/>
        <v>69.879518072289159</v>
      </c>
      <c r="D35" s="18">
        <f t="shared" ref="D35:O35" si="12">D15/$B$15*100</f>
        <v>0</v>
      </c>
      <c r="E35" s="18">
        <f t="shared" si="12"/>
        <v>0</v>
      </c>
      <c r="F35" s="18">
        <f t="shared" si="12"/>
        <v>0.30120481927710846</v>
      </c>
      <c r="G35" s="18">
        <f t="shared" si="12"/>
        <v>1.2048192771084338</v>
      </c>
      <c r="H35" s="18">
        <f t="shared" si="12"/>
        <v>1.6566265060240966</v>
      </c>
      <c r="I35" s="18">
        <f t="shared" si="12"/>
        <v>0</v>
      </c>
      <c r="J35" s="18">
        <f t="shared" si="12"/>
        <v>6.024096385542169</v>
      </c>
      <c r="K35" s="18">
        <f t="shared" si="12"/>
        <v>0.15060240963855423</v>
      </c>
      <c r="L35" s="18">
        <f t="shared" si="12"/>
        <v>1.2048192771084338</v>
      </c>
      <c r="M35" s="18">
        <f t="shared" si="12"/>
        <v>20.331325301204821</v>
      </c>
      <c r="N35" s="18">
        <f t="shared" si="12"/>
        <v>37.951807228915662</v>
      </c>
      <c r="O35" s="18">
        <f t="shared" si="12"/>
        <v>1.0542168674698795</v>
      </c>
    </row>
    <row r="36" spans="1:16" x14ac:dyDescent="0.2">
      <c r="A36" s="16" t="s">
        <v>57</v>
      </c>
      <c r="B36" s="12">
        <f t="shared" si="1"/>
        <v>100</v>
      </c>
      <c r="C36" s="19">
        <f t="shared" si="2"/>
        <v>80.465116279069761</v>
      </c>
      <c r="D36" s="18">
        <f t="shared" ref="D36:O36" si="13">D16/$B$16*100</f>
        <v>0</v>
      </c>
      <c r="E36" s="18">
        <f t="shared" si="13"/>
        <v>0</v>
      </c>
      <c r="F36" s="18">
        <f t="shared" si="13"/>
        <v>0</v>
      </c>
      <c r="G36" s="18">
        <f t="shared" si="13"/>
        <v>0</v>
      </c>
      <c r="H36" s="18">
        <f t="shared" si="13"/>
        <v>0.46511627906976744</v>
      </c>
      <c r="I36" s="18">
        <f t="shared" si="13"/>
        <v>0</v>
      </c>
      <c r="J36" s="18">
        <f t="shared" si="13"/>
        <v>1.2209302325581395</v>
      </c>
      <c r="K36" s="18">
        <f t="shared" si="13"/>
        <v>5.8139534883720929E-2</v>
      </c>
      <c r="L36" s="18">
        <f t="shared" si="13"/>
        <v>0</v>
      </c>
      <c r="M36" s="18">
        <f t="shared" si="13"/>
        <v>0.11627906976744186</v>
      </c>
      <c r="N36" s="18">
        <f t="shared" si="13"/>
        <v>10.290697674418604</v>
      </c>
      <c r="O36" s="18">
        <f t="shared" si="13"/>
        <v>68.313953488372093</v>
      </c>
    </row>
    <row r="37" spans="1:16" x14ac:dyDescent="0.2">
      <c r="A37" s="16" t="s">
        <v>11</v>
      </c>
      <c r="B37" s="12">
        <f t="shared" si="1"/>
        <v>100</v>
      </c>
      <c r="C37" s="19">
        <f t="shared" si="2"/>
        <v>40.411311053984576</v>
      </c>
      <c r="D37" s="18">
        <f t="shared" ref="D37:O37" si="14">D17/$B$17*100</f>
        <v>0</v>
      </c>
      <c r="E37" s="18">
        <f t="shared" si="14"/>
        <v>0</v>
      </c>
      <c r="F37" s="18">
        <f t="shared" si="14"/>
        <v>0</v>
      </c>
      <c r="G37" s="18">
        <f t="shared" si="14"/>
        <v>0</v>
      </c>
      <c r="H37" s="18">
        <f t="shared" si="14"/>
        <v>0.2056555269922879</v>
      </c>
      <c r="I37" s="18">
        <f t="shared" si="14"/>
        <v>5.1413881748071974E-2</v>
      </c>
      <c r="J37" s="18">
        <f t="shared" si="14"/>
        <v>2.3136246786632388</v>
      </c>
      <c r="K37" s="18">
        <f t="shared" si="14"/>
        <v>0.15424164524421594</v>
      </c>
      <c r="L37" s="18">
        <f t="shared" si="14"/>
        <v>5.1413881748071974E-2</v>
      </c>
      <c r="M37" s="18">
        <f t="shared" si="14"/>
        <v>0.25706940874035988</v>
      </c>
      <c r="N37" s="18">
        <f t="shared" si="14"/>
        <v>4.0616966580976861</v>
      </c>
      <c r="O37" s="18">
        <f t="shared" si="14"/>
        <v>33.316195372750641</v>
      </c>
    </row>
    <row r="38" spans="1:16" ht="15" thickBot="1" x14ac:dyDescent="0.25">
      <c r="A38" s="25" t="s">
        <v>13</v>
      </c>
      <c r="B38" s="28">
        <f t="shared" si="1"/>
        <v>100</v>
      </c>
      <c r="C38" s="29">
        <f t="shared" si="2"/>
        <v>74.79161341092383</v>
      </c>
      <c r="D38" s="29">
        <f t="shared" ref="D38:O38" si="15">D18/$B$18*100</f>
        <v>0.60247908615651424</v>
      </c>
      <c r="E38" s="29">
        <f t="shared" si="15"/>
        <v>20.145457097173562</v>
      </c>
      <c r="F38" s="29">
        <f t="shared" si="15"/>
        <v>13.080863519941458</v>
      </c>
      <c r="G38" s="29">
        <f t="shared" si="15"/>
        <v>11.466650627289997</v>
      </c>
      <c r="H38" s="29">
        <f t="shared" si="15"/>
        <v>7.617701457077124</v>
      </c>
      <c r="I38" s="29">
        <f t="shared" si="15"/>
        <v>6.403721135387376</v>
      </c>
      <c r="J38" s="29">
        <f t="shared" si="15"/>
        <v>6.0586239217278415</v>
      </c>
      <c r="K38" s="29">
        <f t="shared" si="15"/>
        <v>8.3219303389822024</v>
      </c>
      <c r="L38" s="29">
        <f t="shared" si="15"/>
        <v>0.18545529274368575</v>
      </c>
      <c r="M38" s="29">
        <f t="shared" si="15"/>
        <v>0.16565668716699497</v>
      </c>
      <c r="N38" s="29">
        <f t="shared" si="15"/>
        <v>0.28319524432481741</v>
      </c>
      <c r="O38" s="29">
        <f t="shared" si="15"/>
        <v>0.45987900295224776</v>
      </c>
    </row>
    <row r="39" spans="1:16" x14ac:dyDescent="0.2">
      <c r="A39" s="7" t="s">
        <v>47</v>
      </c>
      <c r="B39" s="7"/>
      <c r="P39" s="20"/>
    </row>
    <row r="40" spans="1:16" x14ac:dyDescent="0.2">
      <c r="A40" s="7"/>
      <c r="B40" s="7"/>
    </row>
    <row r="41" spans="1:16" ht="24" customHeight="1" x14ac:dyDescent="0.25">
      <c r="A41" s="65" t="s">
        <v>46</v>
      </c>
      <c r="B41" s="9" t="s">
        <v>43</v>
      </c>
      <c r="C41" s="3"/>
      <c r="D41" s="3"/>
      <c r="E41" s="3"/>
    </row>
    <row r="42" spans="1:16" ht="16.5" customHeight="1" thickBot="1" x14ac:dyDescent="0.3">
      <c r="A42" s="67"/>
      <c r="B42" s="10" t="s">
        <v>48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17"/>
      <c r="O42" s="21" t="s">
        <v>3</v>
      </c>
    </row>
    <row r="43" spans="1:16" ht="34.5" customHeight="1" x14ac:dyDescent="0.2">
      <c r="A43" s="74" t="s">
        <v>64</v>
      </c>
      <c r="B43" s="58"/>
      <c r="C43" s="55"/>
      <c r="D43" s="55"/>
      <c r="E43" s="55"/>
      <c r="F43" s="55"/>
      <c r="G43" s="55"/>
      <c r="H43" s="63" t="s">
        <v>49</v>
      </c>
      <c r="I43" s="55"/>
      <c r="J43" s="55"/>
      <c r="K43" s="55"/>
      <c r="L43" s="55"/>
      <c r="M43" s="55"/>
      <c r="N43" s="55"/>
      <c r="O43" s="55"/>
    </row>
    <row r="44" spans="1:16" ht="43.5" customHeight="1" x14ac:dyDescent="0.2">
      <c r="A44" s="72" t="s">
        <v>71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54</v>
      </c>
      <c r="I44" s="24" t="s">
        <v>8</v>
      </c>
      <c r="J44" s="24" t="s">
        <v>55</v>
      </c>
      <c r="K44" s="24" t="s">
        <v>9</v>
      </c>
      <c r="L44" s="24" t="s">
        <v>56</v>
      </c>
      <c r="M44" s="24" t="s">
        <v>10</v>
      </c>
      <c r="N44" s="24" t="s">
        <v>57</v>
      </c>
      <c r="O44" s="24" t="s">
        <v>11</v>
      </c>
    </row>
    <row r="45" spans="1:16" ht="14.25" customHeight="1" x14ac:dyDescent="0.25">
      <c r="A45" s="16" t="s">
        <v>51</v>
      </c>
      <c r="B45" s="22"/>
      <c r="C45" s="19">
        <f t="shared" ref="C45:C56" si="16">C6/$C$18*100</f>
        <v>26.894667407769525</v>
      </c>
      <c r="D45" s="18">
        <f t="shared" ref="D45:D57" si="17">D6/$D$18*100</f>
        <v>100</v>
      </c>
      <c r="E45" s="18">
        <f t="shared" ref="E45:E57" si="18">E6/$E$18*100</f>
        <v>96.810310509554142</v>
      </c>
      <c r="F45" s="18">
        <f t="shared" ref="F45:F57" si="19">F6/$F$18*100</f>
        <v>0</v>
      </c>
      <c r="G45" s="18">
        <f t="shared" ref="G45:G57" si="20">G6/$G$18*100</f>
        <v>0</v>
      </c>
      <c r="H45" s="18">
        <f t="shared" ref="H45:H57" si="21">H6/$H$18*100</f>
        <v>0</v>
      </c>
      <c r="I45" s="18">
        <f t="shared" ref="I45:I57" si="22">I6/$I$18*100</f>
        <v>0</v>
      </c>
      <c r="J45" s="18">
        <f t="shared" ref="J45:J57" si="23">J6/$J$18*100</f>
        <v>0</v>
      </c>
      <c r="K45" s="18">
        <f t="shared" ref="K45:K57" si="24">K6/$K$18*100</f>
        <v>0</v>
      </c>
      <c r="L45" s="18">
        <f t="shared" ref="L45:L57" si="25">L6/$L$18*100</f>
        <v>0</v>
      </c>
      <c r="M45" s="18">
        <f t="shared" ref="M45:M57" si="26">M6/$M$18*100</f>
        <v>0</v>
      </c>
      <c r="N45" s="18">
        <f t="shared" ref="N45:N57" si="27">N6/$N$18*100</f>
        <v>0</v>
      </c>
      <c r="O45" s="18">
        <f t="shared" ref="O45:O57" si="28">O6/$O$18*100</f>
        <v>0</v>
      </c>
    </row>
    <row r="46" spans="1:16" ht="15" x14ac:dyDescent="0.25">
      <c r="A46" s="16" t="s">
        <v>52</v>
      </c>
      <c r="B46" s="22"/>
      <c r="C46" s="19">
        <f t="shared" si="16"/>
        <v>23.517515251762909</v>
      </c>
      <c r="D46" s="18">
        <f t="shared" si="17"/>
        <v>0</v>
      </c>
      <c r="E46" s="18">
        <f t="shared" si="18"/>
        <v>3.1896894904458599</v>
      </c>
      <c r="F46" s="18">
        <f t="shared" si="19"/>
        <v>93.880639908037168</v>
      </c>
      <c r="G46" s="18">
        <f t="shared" si="20"/>
        <v>0</v>
      </c>
      <c r="H46" s="18">
        <f t="shared" si="21"/>
        <v>59.435452033162264</v>
      </c>
      <c r="I46" s="18">
        <f t="shared" si="22"/>
        <v>0</v>
      </c>
      <c r="J46" s="18">
        <f t="shared" si="23"/>
        <v>0</v>
      </c>
      <c r="K46" s="18">
        <f t="shared" si="24"/>
        <v>0</v>
      </c>
      <c r="L46" s="18">
        <f t="shared" si="25"/>
        <v>65.13513513513513</v>
      </c>
      <c r="M46" s="18">
        <f t="shared" si="26"/>
        <v>0</v>
      </c>
      <c r="N46" s="18">
        <f t="shared" si="27"/>
        <v>0</v>
      </c>
      <c r="O46" s="18">
        <f t="shared" si="28"/>
        <v>0</v>
      </c>
    </row>
    <row r="47" spans="1:16" ht="15" x14ac:dyDescent="0.25">
      <c r="A47" s="16" t="s">
        <v>53</v>
      </c>
      <c r="B47" s="22"/>
      <c r="C47" s="19">
        <f t="shared" si="16"/>
        <v>16.491994080106075</v>
      </c>
      <c r="D47" s="18">
        <f t="shared" si="17"/>
        <v>0</v>
      </c>
      <c r="E47" s="18">
        <f t="shared" si="18"/>
        <v>0</v>
      </c>
      <c r="F47" s="18">
        <f t="shared" si="19"/>
        <v>5.5177699013315449</v>
      </c>
      <c r="G47" s="18">
        <f t="shared" si="20"/>
        <v>92.942693534991477</v>
      </c>
      <c r="H47" s="18">
        <f t="shared" si="21"/>
        <v>11.919331490985655</v>
      </c>
      <c r="I47" s="18">
        <f t="shared" si="22"/>
        <v>0.30134627426424548</v>
      </c>
      <c r="J47" s="18">
        <f t="shared" si="23"/>
        <v>0.11168562564632886</v>
      </c>
      <c r="K47" s="18">
        <f t="shared" si="24"/>
        <v>0</v>
      </c>
      <c r="L47" s="18">
        <f t="shared" si="25"/>
        <v>13.918918918918918</v>
      </c>
      <c r="M47" s="18">
        <f t="shared" si="26"/>
        <v>2.5718608169440245</v>
      </c>
      <c r="N47" s="18">
        <f t="shared" si="27"/>
        <v>0.17699115044247787</v>
      </c>
      <c r="O47" s="18">
        <f t="shared" si="28"/>
        <v>0</v>
      </c>
    </row>
    <row r="48" spans="1:16" ht="15" x14ac:dyDescent="0.25">
      <c r="A48" s="16" t="s">
        <v>0</v>
      </c>
      <c r="B48" s="22"/>
      <c r="C48" s="19">
        <f t="shared" si="16"/>
        <v>4.0053037963663636</v>
      </c>
      <c r="D48" s="18">
        <f t="shared" si="17"/>
        <v>0</v>
      </c>
      <c r="E48" s="18">
        <f t="shared" si="18"/>
        <v>0</v>
      </c>
      <c r="F48" s="18">
        <f t="shared" si="19"/>
        <v>7.6635693074049247E-3</v>
      </c>
      <c r="G48" s="18">
        <f t="shared" si="20"/>
        <v>6.9370983957686763</v>
      </c>
      <c r="H48" s="18">
        <f t="shared" si="21"/>
        <v>1.6482431898934071</v>
      </c>
      <c r="I48" s="18">
        <f t="shared" si="22"/>
        <v>0.1056668753913588</v>
      </c>
      <c r="J48" s="18">
        <f t="shared" si="23"/>
        <v>32.008273009307139</v>
      </c>
      <c r="K48" s="18">
        <f t="shared" si="24"/>
        <v>4.5172559176052521E-2</v>
      </c>
      <c r="L48" s="18">
        <f t="shared" si="25"/>
        <v>1.4864864864864866</v>
      </c>
      <c r="M48" s="18">
        <f t="shared" si="26"/>
        <v>0.15128593040847202</v>
      </c>
      <c r="N48" s="18">
        <f t="shared" si="27"/>
        <v>43.451327433628315</v>
      </c>
      <c r="O48" s="18">
        <f t="shared" si="28"/>
        <v>0</v>
      </c>
    </row>
    <row r="49" spans="1:15" ht="15" x14ac:dyDescent="0.25">
      <c r="A49" s="16" t="s">
        <v>54</v>
      </c>
      <c r="B49" s="22"/>
      <c r="C49" s="19">
        <f t="shared" si="16"/>
        <v>9.9750882291882927</v>
      </c>
      <c r="D49" s="18">
        <f t="shared" si="17"/>
        <v>0</v>
      </c>
      <c r="E49" s="18">
        <f t="shared" si="18"/>
        <v>0</v>
      </c>
      <c r="F49" s="18">
        <f t="shared" si="19"/>
        <v>0.47514129705910529</v>
      </c>
      <c r="G49" s="18">
        <f t="shared" si="20"/>
        <v>5.4640031472658133E-2</v>
      </c>
      <c r="H49" s="18">
        <f t="shared" si="21"/>
        <v>23.674167653638637</v>
      </c>
      <c r="I49" s="18">
        <f t="shared" si="22"/>
        <v>74.953036944270508</v>
      </c>
      <c r="J49" s="18">
        <f t="shared" si="23"/>
        <v>12.785935884177871</v>
      </c>
      <c r="K49" s="18">
        <f t="shared" si="24"/>
        <v>0.10841414202252604</v>
      </c>
      <c r="L49" s="18">
        <f t="shared" si="25"/>
        <v>4.8648648648648649</v>
      </c>
      <c r="M49" s="18">
        <f t="shared" si="26"/>
        <v>0.15128593040847202</v>
      </c>
      <c r="N49" s="18">
        <f t="shared" si="27"/>
        <v>0.44247787610619471</v>
      </c>
      <c r="O49" s="18">
        <f t="shared" si="28"/>
        <v>0</v>
      </c>
    </row>
    <row r="50" spans="1:15" ht="15" x14ac:dyDescent="0.25">
      <c r="A50" s="16" t="s">
        <v>8</v>
      </c>
      <c r="B50" s="22"/>
      <c r="C50" s="19">
        <f t="shared" si="16"/>
        <v>5.6302611048236422</v>
      </c>
      <c r="D50" s="18">
        <f t="shared" si="17"/>
        <v>0</v>
      </c>
      <c r="E50" s="18">
        <f t="shared" si="18"/>
        <v>0</v>
      </c>
      <c r="F50" s="18">
        <f t="shared" si="19"/>
        <v>9.196283168885909E-2</v>
      </c>
      <c r="G50" s="18">
        <f t="shared" si="20"/>
        <v>1.0928006294531625E-2</v>
      </c>
      <c r="H50" s="18">
        <f t="shared" si="21"/>
        <v>2.3654428214238714</v>
      </c>
      <c r="I50" s="18">
        <f t="shared" si="22"/>
        <v>24.456011271133374</v>
      </c>
      <c r="J50" s="18">
        <f t="shared" si="23"/>
        <v>39.743536711478797</v>
      </c>
      <c r="K50" s="18">
        <f t="shared" si="24"/>
        <v>0.34933445762813947</v>
      </c>
      <c r="L50" s="18">
        <f t="shared" si="25"/>
        <v>1.8918918918918921</v>
      </c>
      <c r="M50" s="18">
        <f t="shared" si="26"/>
        <v>0</v>
      </c>
      <c r="N50" s="18">
        <f t="shared" si="27"/>
        <v>4.8672566371681416</v>
      </c>
      <c r="O50" s="18">
        <f t="shared" si="28"/>
        <v>5.4495912806539509E-2</v>
      </c>
    </row>
    <row r="51" spans="1:15" ht="15" x14ac:dyDescent="0.25">
      <c r="A51" s="16" t="s">
        <v>55</v>
      </c>
      <c r="B51" s="22"/>
      <c r="C51" s="19">
        <f t="shared" si="16"/>
        <v>9.4082115089702469</v>
      </c>
      <c r="D51" s="18">
        <f t="shared" si="17"/>
        <v>0</v>
      </c>
      <c r="E51" s="18">
        <f t="shared" si="18"/>
        <v>0</v>
      </c>
      <c r="F51" s="18">
        <f t="shared" si="19"/>
        <v>3.8317846537024624E-3</v>
      </c>
      <c r="G51" s="18">
        <f t="shared" si="20"/>
        <v>8.7424050356252996E-3</v>
      </c>
      <c r="H51" s="18">
        <f t="shared" si="21"/>
        <v>0.32241084353204369</v>
      </c>
      <c r="I51" s="18">
        <f t="shared" si="22"/>
        <v>7.8271759549154662E-2</v>
      </c>
      <c r="J51" s="18">
        <f t="shared" si="23"/>
        <v>10.159255429162357</v>
      </c>
      <c r="K51" s="18">
        <f t="shared" si="24"/>
        <v>76.808408119014643</v>
      </c>
      <c r="L51" s="18">
        <f t="shared" si="25"/>
        <v>0</v>
      </c>
      <c r="M51" s="18">
        <f t="shared" si="26"/>
        <v>0</v>
      </c>
      <c r="N51" s="18">
        <f t="shared" si="27"/>
        <v>1.0619469026548671</v>
      </c>
      <c r="O51" s="18">
        <f t="shared" si="28"/>
        <v>5.4495912806539509E-2</v>
      </c>
    </row>
    <row r="52" spans="1:15" ht="15" x14ac:dyDescent="0.25">
      <c r="A52" s="16" t="s">
        <v>9</v>
      </c>
      <c r="B52" s="22"/>
      <c r="C52" s="19">
        <f t="shared" si="16"/>
        <v>2.9813764423044726</v>
      </c>
      <c r="D52" s="18">
        <f t="shared" si="17"/>
        <v>0</v>
      </c>
      <c r="E52" s="18">
        <f t="shared" si="18"/>
        <v>0</v>
      </c>
      <c r="F52" s="18">
        <f t="shared" si="19"/>
        <v>1.9158923268512312E-3</v>
      </c>
      <c r="G52" s="18">
        <f t="shared" si="20"/>
        <v>0</v>
      </c>
      <c r="H52" s="18">
        <f t="shared" si="21"/>
        <v>0.50664561126464003</v>
      </c>
      <c r="I52" s="18">
        <f t="shared" si="22"/>
        <v>9.3926111458985592E-2</v>
      </c>
      <c r="J52" s="18">
        <f t="shared" si="23"/>
        <v>4.7528438469493279</v>
      </c>
      <c r="K52" s="18">
        <f t="shared" si="24"/>
        <v>22.673613202433295</v>
      </c>
      <c r="L52" s="18">
        <f t="shared" si="25"/>
        <v>0</v>
      </c>
      <c r="M52" s="18">
        <f t="shared" si="26"/>
        <v>0.15128593040847202</v>
      </c>
      <c r="N52" s="18">
        <f t="shared" si="27"/>
        <v>3.8938053097345131</v>
      </c>
      <c r="O52" s="18">
        <f t="shared" si="28"/>
        <v>0.10899182561307902</v>
      </c>
    </row>
    <row r="53" spans="1:15" ht="15" x14ac:dyDescent="0.25">
      <c r="A53" s="16" t="s">
        <v>56</v>
      </c>
      <c r="B53" s="22"/>
      <c r="C53" s="19">
        <f t="shared" si="16"/>
        <v>0.21362513142298445</v>
      </c>
      <c r="D53" s="18">
        <f t="shared" si="17"/>
        <v>0</v>
      </c>
      <c r="E53" s="18">
        <f t="shared" si="18"/>
        <v>0</v>
      </c>
      <c r="F53" s="18">
        <f t="shared" si="19"/>
        <v>1.7243030941661078E-2</v>
      </c>
      <c r="G53" s="18">
        <f t="shared" si="20"/>
        <v>2.8412816365782224E-2</v>
      </c>
      <c r="H53" s="18">
        <f t="shared" si="21"/>
        <v>5.263850506645612E-2</v>
      </c>
      <c r="I53" s="18">
        <f t="shared" si="22"/>
        <v>7.8271759549154666E-3</v>
      </c>
      <c r="J53" s="18">
        <f t="shared" si="23"/>
        <v>0</v>
      </c>
      <c r="K53" s="18">
        <f t="shared" si="24"/>
        <v>0</v>
      </c>
      <c r="L53" s="18">
        <f t="shared" si="25"/>
        <v>11.486486486486488</v>
      </c>
      <c r="M53" s="18">
        <f t="shared" si="26"/>
        <v>75.491679273827543</v>
      </c>
      <c r="N53" s="18">
        <f t="shared" si="27"/>
        <v>1.1504424778761062</v>
      </c>
      <c r="O53" s="18">
        <f t="shared" si="28"/>
        <v>5.4495912806539509E-2</v>
      </c>
    </row>
    <row r="54" spans="1:15" ht="15" x14ac:dyDescent="0.25">
      <c r="A54" s="16" t="s">
        <v>10</v>
      </c>
      <c r="B54" s="22"/>
      <c r="C54" s="19">
        <f t="shared" si="16"/>
        <v>0.1553637319439887</v>
      </c>
      <c r="D54" s="18">
        <f t="shared" si="17"/>
        <v>0</v>
      </c>
      <c r="E54" s="18">
        <f t="shared" si="18"/>
        <v>0</v>
      </c>
      <c r="F54" s="18">
        <f t="shared" si="19"/>
        <v>3.8317846537024624E-3</v>
      </c>
      <c r="G54" s="18">
        <f t="shared" si="20"/>
        <v>1.7484810071250599E-2</v>
      </c>
      <c r="H54" s="18">
        <f t="shared" si="21"/>
        <v>3.6188972233188579E-2</v>
      </c>
      <c r="I54" s="18">
        <f t="shared" si="22"/>
        <v>0</v>
      </c>
      <c r="J54" s="18">
        <f t="shared" si="23"/>
        <v>0.16546018614270941</v>
      </c>
      <c r="K54" s="18">
        <f t="shared" si="24"/>
        <v>3.011503945070168E-3</v>
      </c>
      <c r="L54" s="18">
        <f t="shared" si="25"/>
        <v>1.0810810810810811</v>
      </c>
      <c r="M54" s="18">
        <f t="shared" si="26"/>
        <v>20.423600605143722</v>
      </c>
      <c r="N54" s="18">
        <f t="shared" si="27"/>
        <v>22.300884955752213</v>
      </c>
      <c r="O54" s="18">
        <f t="shared" si="28"/>
        <v>0.38147138964577654</v>
      </c>
    </row>
    <row r="55" spans="1:15" ht="15" x14ac:dyDescent="0.25">
      <c r="A55" s="16" t="s">
        <v>57</v>
      </c>
      <c r="B55" s="22"/>
      <c r="C55" s="19">
        <f t="shared" si="16"/>
        <v>0.46341251079844903</v>
      </c>
      <c r="D55" s="18">
        <f t="shared" si="17"/>
        <v>0</v>
      </c>
      <c r="E55" s="18">
        <f t="shared" si="18"/>
        <v>0</v>
      </c>
      <c r="F55" s="18">
        <f t="shared" si="19"/>
        <v>0</v>
      </c>
      <c r="G55" s="18">
        <f t="shared" si="20"/>
        <v>0</v>
      </c>
      <c r="H55" s="18">
        <f t="shared" si="21"/>
        <v>2.631925253322806E-2</v>
      </c>
      <c r="I55" s="18">
        <f t="shared" si="22"/>
        <v>0</v>
      </c>
      <c r="J55" s="18">
        <f t="shared" si="23"/>
        <v>8.6866597724922431E-2</v>
      </c>
      <c r="K55" s="18">
        <f t="shared" si="24"/>
        <v>3.011503945070168E-3</v>
      </c>
      <c r="L55" s="18">
        <f t="shared" si="25"/>
        <v>0</v>
      </c>
      <c r="M55" s="18">
        <f t="shared" si="26"/>
        <v>0.30257186081694404</v>
      </c>
      <c r="N55" s="18">
        <f t="shared" si="27"/>
        <v>15.663716814159292</v>
      </c>
      <c r="O55" s="18">
        <f t="shared" si="28"/>
        <v>64.032697547683924</v>
      </c>
    </row>
    <row r="56" spans="1:15" ht="15" x14ac:dyDescent="0.25">
      <c r="A56" s="16" t="s">
        <v>11</v>
      </c>
      <c r="B56" s="22"/>
      <c r="C56" s="19">
        <f t="shared" si="16"/>
        <v>0.26318080454304982</v>
      </c>
      <c r="D56" s="18">
        <f t="shared" si="17"/>
        <v>0</v>
      </c>
      <c r="E56" s="18">
        <f t="shared" si="18"/>
        <v>0</v>
      </c>
      <c r="F56" s="18">
        <f t="shared" si="19"/>
        <v>0</v>
      </c>
      <c r="G56" s="18">
        <f t="shared" si="20"/>
        <v>0</v>
      </c>
      <c r="H56" s="18">
        <f t="shared" si="21"/>
        <v>1.315962626661403E-2</v>
      </c>
      <c r="I56" s="18">
        <f t="shared" si="22"/>
        <v>3.9135879774577333E-3</v>
      </c>
      <c r="J56" s="18">
        <f t="shared" si="23"/>
        <v>0.18614270941054809</v>
      </c>
      <c r="K56" s="18">
        <f t="shared" si="24"/>
        <v>9.0345118352105035E-3</v>
      </c>
      <c r="L56" s="18">
        <f t="shared" si="25"/>
        <v>0.13513513513513514</v>
      </c>
      <c r="M56" s="18">
        <f t="shared" si="26"/>
        <v>0.75642965204236012</v>
      </c>
      <c r="N56" s="18">
        <f t="shared" si="27"/>
        <v>6.9911504424778768</v>
      </c>
      <c r="O56" s="18">
        <f t="shared" si="28"/>
        <v>35.313351498637601</v>
      </c>
    </row>
    <row r="57" spans="1:15" ht="15.75" thickBot="1" x14ac:dyDescent="0.3">
      <c r="A57" s="25" t="s">
        <v>13</v>
      </c>
      <c r="B57" s="26"/>
      <c r="C57" s="27">
        <f>C18/C18*100</f>
        <v>100</v>
      </c>
      <c r="D57" s="27">
        <f t="shared" si="17"/>
        <v>100</v>
      </c>
      <c r="E57" s="27">
        <f t="shared" si="18"/>
        <v>100</v>
      </c>
      <c r="F57" s="27">
        <f t="shared" si="19"/>
        <v>100</v>
      </c>
      <c r="G57" s="27">
        <f t="shared" si="20"/>
        <v>100</v>
      </c>
      <c r="H57" s="27">
        <f t="shared" si="21"/>
        <v>100</v>
      </c>
      <c r="I57" s="27">
        <f t="shared" si="22"/>
        <v>100</v>
      </c>
      <c r="J57" s="27">
        <f t="shared" si="23"/>
        <v>100</v>
      </c>
      <c r="K57" s="27">
        <f t="shared" si="24"/>
        <v>100</v>
      </c>
      <c r="L57" s="27">
        <f t="shared" si="25"/>
        <v>100</v>
      </c>
      <c r="M57" s="27">
        <f t="shared" si="26"/>
        <v>100</v>
      </c>
      <c r="N57" s="27">
        <f t="shared" si="27"/>
        <v>100</v>
      </c>
      <c r="O57" s="27">
        <f t="shared" si="28"/>
        <v>100</v>
      </c>
    </row>
    <row r="58" spans="1:15" x14ac:dyDescent="0.2">
      <c r="A58" s="7" t="s">
        <v>47</v>
      </c>
      <c r="B58" s="7"/>
    </row>
    <row r="59" spans="1:15" x14ac:dyDescent="0.2">
      <c r="A59" s="7"/>
      <c r="B59" s="7"/>
    </row>
    <row r="60" spans="1:15" x14ac:dyDescent="0.2">
      <c r="A60" s="7"/>
      <c r="B60" s="7"/>
    </row>
    <row r="61" spans="1:15" x14ac:dyDescent="0.2">
      <c r="A61" s="7"/>
      <c r="B61" s="7"/>
    </row>
    <row r="62" spans="1:15" x14ac:dyDescent="0.2">
      <c r="A62" s="7"/>
      <c r="B62" s="7"/>
    </row>
    <row r="63" spans="1:15" x14ac:dyDescent="0.2">
      <c r="A63" s="7"/>
      <c r="B63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3"/>
  <sheetViews>
    <sheetView showGridLines="0" workbookViewId="0">
      <selection sqref="A1:XFD1048576"/>
    </sheetView>
  </sheetViews>
  <sheetFormatPr defaultColWidth="9.140625" defaultRowHeight="14.25" x14ac:dyDescent="0.2"/>
  <cols>
    <col min="1" max="1" width="11.42578125" style="2" customWidth="1"/>
    <col min="2" max="16" width="12.140625" style="2" customWidth="1"/>
    <col min="17" max="17" width="12.5703125" style="2" customWidth="1"/>
    <col min="18" max="16384" width="9.140625" style="2"/>
  </cols>
  <sheetData>
    <row r="1" spans="1:16" ht="33.75" customHeight="1" x14ac:dyDescent="0.2"/>
    <row r="2" spans="1:16" ht="28.5" customHeight="1" x14ac:dyDescent="0.25">
      <c r="A2" s="65" t="s">
        <v>44</v>
      </c>
      <c r="B2" s="60" t="s">
        <v>58</v>
      </c>
      <c r="C2" s="3"/>
      <c r="D2" s="3"/>
      <c r="E2" s="3"/>
    </row>
    <row r="3" spans="1:16" ht="16.5" customHeight="1" thickBot="1" x14ac:dyDescent="0.55000000000000004">
      <c r="A3" s="52"/>
      <c r="B3" s="10" t="s">
        <v>59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17"/>
      <c r="P3" s="6" t="s">
        <v>2</v>
      </c>
    </row>
    <row r="4" spans="1:16" ht="32.25" customHeight="1" x14ac:dyDescent="0.2">
      <c r="A4" s="74" t="s">
        <v>64</v>
      </c>
      <c r="B4" s="58"/>
      <c r="C4" s="68"/>
      <c r="D4" s="68"/>
      <c r="E4" s="68"/>
      <c r="F4" s="68"/>
      <c r="G4" s="68"/>
      <c r="H4" s="63" t="s">
        <v>60</v>
      </c>
      <c r="I4" s="68"/>
      <c r="J4" s="68"/>
      <c r="K4" s="68"/>
      <c r="L4" s="68"/>
      <c r="M4" s="68"/>
      <c r="N4" s="68"/>
      <c r="O4" s="68"/>
      <c r="P4" s="68"/>
    </row>
    <row r="5" spans="1:16" ht="43.5" customHeight="1" x14ac:dyDescent="0.2">
      <c r="A5" s="72" t="s">
        <v>73</v>
      </c>
      <c r="B5" s="54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61</v>
      </c>
      <c r="I5" s="24" t="s">
        <v>54</v>
      </c>
      <c r="J5" s="24" t="s">
        <v>8</v>
      </c>
      <c r="K5" s="24" t="s">
        <v>55</v>
      </c>
      <c r="L5" s="24" t="s">
        <v>9</v>
      </c>
      <c r="M5" s="24" t="s">
        <v>56</v>
      </c>
      <c r="N5" s="24" t="s">
        <v>10</v>
      </c>
      <c r="O5" s="24" t="s">
        <v>57</v>
      </c>
      <c r="P5" s="24" t="s">
        <v>11</v>
      </c>
    </row>
    <row r="6" spans="1:16" ht="14.25" customHeight="1" x14ac:dyDescent="0.2">
      <c r="A6" s="16" t="s">
        <v>51</v>
      </c>
      <c r="B6" s="48">
        <v>84955</v>
      </c>
      <c r="C6" s="49">
        <f>SUM(D6:P6)</f>
        <v>80812</v>
      </c>
      <c r="D6" s="50">
        <v>2170</v>
      </c>
      <c r="E6" s="50">
        <v>78439</v>
      </c>
      <c r="F6" s="50"/>
      <c r="G6" s="51"/>
      <c r="H6" s="51">
        <v>203</v>
      </c>
      <c r="I6" s="50"/>
      <c r="J6" s="51"/>
      <c r="K6" s="51"/>
      <c r="L6" s="51"/>
      <c r="M6" s="50"/>
      <c r="N6" s="51"/>
      <c r="O6" s="51"/>
      <c r="P6" s="51"/>
    </row>
    <row r="7" spans="1:16" x14ac:dyDescent="0.2">
      <c r="A7" s="16" t="s">
        <v>52</v>
      </c>
      <c r="B7" s="48">
        <v>82200</v>
      </c>
      <c r="C7" s="49">
        <f t="shared" ref="C7:C17" si="0">SUM(D7:P7)</f>
        <v>72543</v>
      </c>
      <c r="D7" s="50"/>
      <c r="E7" s="50">
        <v>2998</v>
      </c>
      <c r="F7" s="50">
        <v>47716</v>
      </c>
      <c r="G7" s="50"/>
      <c r="H7" s="50">
        <v>33</v>
      </c>
      <c r="I7" s="50">
        <v>21289</v>
      </c>
      <c r="J7" s="50"/>
      <c r="K7" s="50"/>
      <c r="L7" s="51"/>
      <c r="M7" s="50">
        <v>507</v>
      </c>
      <c r="N7" s="51"/>
      <c r="O7" s="51"/>
      <c r="P7" s="51"/>
    </row>
    <row r="8" spans="1:16" x14ac:dyDescent="0.2">
      <c r="A8" s="16" t="s">
        <v>53</v>
      </c>
      <c r="B8" s="48">
        <v>53489</v>
      </c>
      <c r="C8" s="49">
        <f t="shared" si="0"/>
        <v>50772</v>
      </c>
      <c r="D8" s="51"/>
      <c r="E8" s="51"/>
      <c r="F8" s="50">
        <v>3092</v>
      </c>
      <c r="G8" s="50">
        <v>43299</v>
      </c>
      <c r="H8" s="50"/>
      <c r="I8" s="50">
        <v>4095</v>
      </c>
      <c r="J8" s="50">
        <v>114</v>
      </c>
      <c r="K8" s="50">
        <v>23</v>
      </c>
      <c r="L8" s="51"/>
      <c r="M8" s="50">
        <v>131</v>
      </c>
      <c r="N8" s="50">
        <v>14</v>
      </c>
      <c r="O8" s="50">
        <v>4</v>
      </c>
      <c r="P8" s="51"/>
    </row>
    <row r="9" spans="1:16" x14ac:dyDescent="0.2">
      <c r="A9" s="16" t="s">
        <v>0</v>
      </c>
      <c r="B9" s="48">
        <v>46175</v>
      </c>
      <c r="C9" s="49">
        <f t="shared" si="0"/>
        <v>11801</v>
      </c>
      <c r="D9" s="51"/>
      <c r="E9" s="51"/>
      <c r="F9" s="50"/>
      <c r="G9" s="50">
        <v>2984</v>
      </c>
      <c r="H9" s="50"/>
      <c r="I9" s="50">
        <v>482</v>
      </c>
      <c r="J9" s="50">
        <v>24</v>
      </c>
      <c r="K9" s="50">
        <v>7773</v>
      </c>
      <c r="L9" s="50">
        <v>18</v>
      </c>
      <c r="M9" s="50">
        <v>18</v>
      </c>
      <c r="N9" s="50">
        <v>2</v>
      </c>
      <c r="O9" s="50">
        <v>500</v>
      </c>
      <c r="P9" s="51"/>
    </row>
    <row r="10" spans="1:16" x14ac:dyDescent="0.2">
      <c r="A10" s="16" t="s">
        <v>54</v>
      </c>
      <c r="B10" s="48">
        <v>40573</v>
      </c>
      <c r="C10" s="49">
        <f t="shared" si="0"/>
        <v>30847</v>
      </c>
      <c r="D10" s="51"/>
      <c r="E10" s="51"/>
      <c r="F10" s="50">
        <v>211</v>
      </c>
      <c r="G10" s="50">
        <v>35</v>
      </c>
      <c r="H10" s="50"/>
      <c r="I10" s="50">
        <v>8217</v>
      </c>
      <c r="J10" s="50">
        <v>20595</v>
      </c>
      <c r="K10" s="50">
        <v>1703</v>
      </c>
      <c r="L10" s="50">
        <v>39</v>
      </c>
      <c r="M10" s="50">
        <v>37</v>
      </c>
      <c r="N10" s="50">
        <v>2</v>
      </c>
      <c r="O10" s="50">
        <v>7</v>
      </c>
      <c r="P10" s="51">
        <v>1</v>
      </c>
    </row>
    <row r="11" spans="1:16" x14ac:dyDescent="0.2">
      <c r="A11" s="16" t="s">
        <v>8</v>
      </c>
      <c r="B11" s="48">
        <v>26179</v>
      </c>
      <c r="C11" s="49">
        <f t="shared" si="0"/>
        <v>16702</v>
      </c>
      <c r="D11" s="51"/>
      <c r="E11" s="51"/>
      <c r="F11" s="50">
        <v>28</v>
      </c>
      <c r="G11" s="50">
        <v>5</v>
      </c>
      <c r="H11" s="50"/>
      <c r="I11" s="50">
        <v>726</v>
      </c>
      <c r="J11" s="50">
        <v>6119</v>
      </c>
      <c r="K11" s="50">
        <v>9608</v>
      </c>
      <c r="L11" s="50">
        <v>148</v>
      </c>
      <c r="M11" s="50">
        <v>7</v>
      </c>
      <c r="N11" s="51">
        <v>1</v>
      </c>
      <c r="O11" s="50">
        <v>60</v>
      </c>
      <c r="P11" s="50"/>
    </row>
    <row r="12" spans="1:16" x14ac:dyDescent="0.2">
      <c r="A12" s="16" t="s">
        <v>55</v>
      </c>
      <c r="B12" s="48">
        <v>35034</v>
      </c>
      <c r="C12" s="49">
        <f t="shared" si="0"/>
        <v>29278</v>
      </c>
      <c r="D12" s="51"/>
      <c r="E12" s="51"/>
      <c r="F12" s="50">
        <v>3</v>
      </c>
      <c r="G12" s="50">
        <v>4</v>
      </c>
      <c r="H12" s="50"/>
      <c r="I12" s="50">
        <v>104</v>
      </c>
      <c r="J12" s="50">
        <v>40</v>
      </c>
      <c r="K12" s="50">
        <v>2711</v>
      </c>
      <c r="L12" s="50">
        <v>26396</v>
      </c>
      <c r="M12" s="51">
        <v>1</v>
      </c>
      <c r="N12" s="51"/>
      <c r="O12" s="50">
        <v>15</v>
      </c>
      <c r="P12" s="50">
        <v>4</v>
      </c>
    </row>
    <row r="13" spans="1:16" x14ac:dyDescent="0.2">
      <c r="A13" s="16" t="s">
        <v>9</v>
      </c>
      <c r="B13" s="48">
        <v>33944</v>
      </c>
      <c r="C13" s="49">
        <f t="shared" si="0"/>
        <v>8569</v>
      </c>
      <c r="D13" s="51"/>
      <c r="E13" s="51"/>
      <c r="F13" s="50">
        <v>3</v>
      </c>
      <c r="G13" s="51">
        <v>1</v>
      </c>
      <c r="H13" s="51"/>
      <c r="I13" s="50">
        <v>129</v>
      </c>
      <c r="J13" s="50">
        <v>9</v>
      </c>
      <c r="K13" s="50">
        <v>1183</v>
      </c>
      <c r="L13" s="50">
        <v>7203</v>
      </c>
      <c r="M13" s="51"/>
      <c r="N13" s="50"/>
      <c r="O13" s="50">
        <v>39</v>
      </c>
      <c r="P13" s="50">
        <v>2</v>
      </c>
    </row>
    <row r="14" spans="1:16" x14ac:dyDescent="0.2">
      <c r="A14" s="16" t="s">
        <v>56</v>
      </c>
      <c r="B14" s="48">
        <v>869</v>
      </c>
      <c r="C14" s="49">
        <f t="shared" si="0"/>
        <v>755</v>
      </c>
      <c r="D14" s="51"/>
      <c r="E14" s="51"/>
      <c r="F14" s="50">
        <v>17</v>
      </c>
      <c r="G14" s="50">
        <v>5</v>
      </c>
      <c r="H14" s="50"/>
      <c r="I14" s="50">
        <v>23</v>
      </c>
      <c r="J14" s="50">
        <v>3</v>
      </c>
      <c r="K14" s="51">
        <v>2</v>
      </c>
      <c r="L14" s="51"/>
      <c r="M14" s="50">
        <v>132</v>
      </c>
      <c r="N14" s="50">
        <v>546</v>
      </c>
      <c r="O14" s="50">
        <v>26</v>
      </c>
      <c r="P14" s="50">
        <v>1</v>
      </c>
    </row>
    <row r="15" spans="1:16" x14ac:dyDescent="0.2">
      <c r="A15" s="16" t="s">
        <v>10</v>
      </c>
      <c r="B15" s="48">
        <v>656</v>
      </c>
      <c r="C15" s="49">
        <f t="shared" si="0"/>
        <v>504</v>
      </c>
      <c r="D15" s="51"/>
      <c r="E15" s="51"/>
      <c r="F15" s="50">
        <v>1</v>
      </c>
      <c r="G15" s="50">
        <v>4</v>
      </c>
      <c r="H15" s="50"/>
      <c r="I15" s="50">
        <v>10</v>
      </c>
      <c r="J15" s="51"/>
      <c r="K15" s="50">
        <v>36</v>
      </c>
      <c r="L15" s="50"/>
      <c r="M15" s="50">
        <v>12</v>
      </c>
      <c r="N15" s="50">
        <v>129</v>
      </c>
      <c r="O15" s="50">
        <v>307</v>
      </c>
      <c r="P15" s="50">
        <v>5</v>
      </c>
    </row>
    <row r="16" spans="1:16" x14ac:dyDescent="0.2">
      <c r="A16" s="16" t="s">
        <v>57</v>
      </c>
      <c r="B16" s="48">
        <v>1868</v>
      </c>
      <c r="C16" s="49">
        <f t="shared" si="0"/>
        <v>1533</v>
      </c>
      <c r="D16" s="51"/>
      <c r="E16" s="51"/>
      <c r="F16" s="51"/>
      <c r="G16" s="51"/>
      <c r="H16" s="51"/>
      <c r="I16" s="50">
        <v>7</v>
      </c>
      <c r="J16" s="51">
        <v>1</v>
      </c>
      <c r="K16" s="50">
        <v>31</v>
      </c>
      <c r="L16" s="50"/>
      <c r="M16" s="51">
        <v>3</v>
      </c>
      <c r="N16" s="50"/>
      <c r="O16" s="50">
        <v>224</v>
      </c>
      <c r="P16" s="50">
        <v>1267</v>
      </c>
    </row>
    <row r="17" spans="1:16" x14ac:dyDescent="0.2">
      <c r="A17" s="16" t="s">
        <v>11</v>
      </c>
      <c r="B17" s="48">
        <v>1904</v>
      </c>
      <c r="C17" s="49">
        <f t="shared" si="0"/>
        <v>872</v>
      </c>
      <c r="D17" s="51"/>
      <c r="E17" s="51"/>
      <c r="F17" s="51"/>
      <c r="G17" s="51"/>
      <c r="H17" s="51"/>
      <c r="I17" s="50">
        <v>6</v>
      </c>
      <c r="J17" s="50"/>
      <c r="K17" s="50">
        <v>18</v>
      </c>
      <c r="L17" s="50">
        <v>3</v>
      </c>
      <c r="M17" s="50">
        <v>5</v>
      </c>
      <c r="N17" s="50">
        <v>4</v>
      </c>
      <c r="O17" s="50">
        <v>68</v>
      </c>
      <c r="P17" s="50">
        <v>768</v>
      </c>
    </row>
    <row r="18" spans="1:16" ht="15" thickBot="1" x14ac:dyDescent="0.25">
      <c r="A18" s="25" t="s">
        <v>25</v>
      </c>
      <c r="B18" s="30">
        <f>SUM(B6:B17)</f>
        <v>407846</v>
      </c>
      <c r="C18" s="31">
        <f>SUM(C6:C17)</f>
        <v>304988</v>
      </c>
      <c r="D18" s="31">
        <f>SUM(D6:D17)</f>
        <v>2170</v>
      </c>
      <c r="E18" s="31">
        <f t="shared" ref="E18:P18" si="1">SUM(E6:E17)</f>
        <v>81437</v>
      </c>
      <c r="F18" s="31">
        <f t="shared" si="1"/>
        <v>51071</v>
      </c>
      <c r="G18" s="31">
        <f t="shared" si="1"/>
        <v>46337</v>
      </c>
      <c r="H18" s="31">
        <f t="shared" si="1"/>
        <v>236</v>
      </c>
      <c r="I18" s="31">
        <f t="shared" si="1"/>
        <v>35088</v>
      </c>
      <c r="J18" s="31">
        <f t="shared" si="1"/>
        <v>26905</v>
      </c>
      <c r="K18" s="31">
        <f t="shared" si="1"/>
        <v>23088</v>
      </c>
      <c r="L18" s="31">
        <f t="shared" si="1"/>
        <v>33807</v>
      </c>
      <c r="M18" s="31">
        <f t="shared" si="1"/>
        <v>853</v>
      </c>
      <c r="N18" s="31">
        <f t="shared" si="1"/>
        <v>698</v>
      </c>
      <c r="O18" s="31">
        <f t="shared" si="1"/>
        <v>1250</v>
      </c>
      <c r="P18" s="31">
        <f t="shared" si="1"/>
        <v>2048</v>
      </c>
    </row>
    <row r="19" spans="1:16" x14ac:dyDescent="0.2">
      <c r="A19" s="7" t="s">
        <v>47</v>
      </c>
      <c r="B19" s="7"/>
    </row>
    <row r="20" spans="1:16" x14ac:dyDescent="0.2">
      <c r="A20" s="11"/>
    </row>
    <row r="21" spans="1:16" ht="10.5" customHeight="1" x14ac:dyDescent="0.2">
      <c r="A21" s="11"/>
    </row>
    <row r="22" spans="1:16" ht="33" customHeight="1" x14ac:dyDescent="0.25">
      <c r="A22" s="65" t="s">
        <v>45</v>
      </c>
      <c r="B22" s="60" t="s">
        <v>62</v>
      </c>
      <c r="C22" s="3"/>
      <c r="D22" s="3"/>
      <c r="E22" s="3"/>
    </row>
    <row r="23" spans="1:16" ht="16.5" customHeight="1" thickBot="1" x14ac:dyDescent="0.55000000000000004">
      <c r="A23" s="56"/>
      <c r="B23" s="10" t="s">
        <v>59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17"/>
      <c r="P23" s="21" t="s">
        <v>3</v>
      </c>
    </row>
    <row r="24" spans="1:16" ht="34.5" customHeight="1" x14ac:dyDescent="0.2">
      <c r="A24" s="74" t="s">
        <v>64</v>
      </c>
      <c r="B24" s="74"/>
      <c r="C24" s="55"/>
      <c r="D24" s="55"/>
      <c r="E24" s="55"/>
      <c r="F24" s="55"/>
      <c r="G24" s="55"/>
      <c r="H24" s="63" t="s">
        <v>60</v>
      </c>
      <c r="I24" s="55"/>
      <c r="J24" s="55"/>
      <c r="K24" s="55"/>
      <c r="L24" s="55"/>
      <c r="M24" s="55"/>
      <c r="N24" s="55"/>
      <c r="O24" s="55"/>
      <c r="P24" s="55"/>
    </row>
    <row r="25" spans="1:16" ht="43.5" customHeight="1" x14ac:dyDescent="0.2">
      <c r="A25" s="72" t="s">
        <v>73</v>
      </c>
      <c r="B25" s="75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61</v>
      </c>
      <c r="I25" s="24" t="s">
        <v>54</v>
      </c>
      <c r="J25" s="24" t="s">
        <v>8</v>
      </c>
      <c r="K25" s="24" t="s">
        <v>55</v>
      </c>
      <c r="L25" s="24" t="s">
        <v>9</v>
      </c>
      <c r="M25" s="24" t="s">
        <v>56</v>
      </c>
      <c r="N25" s="24" t="s">
        <v>10</v>
      </c>
      <c r="O25" s="24" t="s">
        <v>57</v>
      </c>
      <c r="P25" s="24" t="s">
        <v>11</v>
      </c>
    </row>
    <row r="26" spans="1:16" ht="14.25" customHeight="1" x14ac:dyDescent="0.2">
      <c r="A26" s="16" t="s">
        <v>51</v>
      </c>
      <c r="B26" s="12">
        <f>B6/B6*100</f>
        <v>100</v>
      </c>
      <c r="C26" s="19">
        <f t="shared" ref="C26:C38" si="2">SUM(D26:P26)</f>
        <v>95.123300570890478</v>
      </c>
      <c r="D26" s="18">
        <f>D6/$B$6*100</f>
        <v>2.5542934494732505</v>
      </c>
      <c r="E26" s="18">
        <f t="shared" ref="E26:P26" si="3">E6/$B$6*100</f>
        <v>92.330057089047145</v>
      </c>
      <c r="F26" s="18">
        <f t="shared" si="3"/>
        <v>0</v>
      </c>
      <c r="G26" s="18">
        <f t="shared" si="3"/>
        <v>0</v>
      </c>
      <c r="H26" s="18">
        <f t="shared" si="3"/>
        <v>0.23895003237007828</v>
      </c>
      <c r="I26" s="18">
        <f t="shared" si="3"/>
        <v>0</v>
      </c>
      <c r="J26" s="18">
        <f t="shared" si="3"/>
        <v>0</v>
      </c>
      <c r="K26" s="18">
        <f t="shared" si="3"/>
        <v>0</v>
      </c>
      <c r="L26" s="18">
        <f t="shared" si="3"/>
        <v>0</v>
      </c>
      <c r="M26" s="18">
        <f t="shared" si="3"/>
        <v>0</v>
      </c>
      <c r="N26" s="18">
        <f t="shared" si="3"/>
        <v>0</v>
      </c>
      <c r="O26" s="18">
        <f t="shared" si="3"/>
        <v>0</v>
      </c>
      <c r="P26" s="18">
        <f t="shared" si="3"/>
        <v>0</v>
      </c>
    </row>
    <row r="27" spans="1:16" x14ac:dyDescent="0.2">
      <c r="A27" s="16" t="s">
        <v>52</v>
      </c>
      <c r="B27" s="12">
        <f t="shared" ref="B27:B38" si="4">B7/B7*100</f>
        <v>100</v>
      </c>
      <c r="C27" s="19">
        <f t="shared" si="2"/>
        <v>88.250522926048873</v>
      </c>
      <c r="D27" s="18">
        <f t="shared" ref="D27:P27" si="5">D7/$B$7*100</f>
        <v>0</v>
      </c>
      <c r="E27" s="18">
        <f t="shared" si="5"/>
        <v>3.6472019464720193</v>
      </c>
      <c r="F27" s="18">
        <f t="shared" si="5"/>
        <v>58.04866180048662</v>
      </c>
      <c r="G27" s="18">
        <f t="shared" si="5"/>
        <v>0</v>
      </c>
      <c r="H27" s="18">
        <f t="shared" ref="H27" si="6">H7/$B$6*100</f>
        <v>3.8844093932081693E-2</v>
      </c>
      <c r="I27" s="18">
        <f t="shared" si="5"/>
        <v>25.899026763990268</v>
      </c>
      <c r="J27" s="18">
        <f t="shared" si="5"/>
        <v>0</v>
      </c>
      <c r="K27" s="18">
        <f t="shared" si="5"/>
        <v>0</v>
      </c>
      <c r="L27" s="18">
        <f t="shared" si="5"/>
        <v>0</v>
      </c>
      <c r="M27" s="18">
        <f t="shared" si="5"/>
        <v>0.61678832116788318</v>
      </c>
      <c r="N27" s="18">
        <f t="shared" si="5"/>
        <v>0</v>
      </c>
      <c r="O27" s="18">
        <f t="shared" si="5"/>
        <v>0</v>
      </c>
      <c r="P27" s="18">
        <f t="shared" si="5"/>
        <v>0</v>
      </c>
    </row>
    <row r="28" spans="1:16" x14ac:dyDescent="0.2">
      <c r="A28" s="16" t="s">
        <v>53</v>
      </c>
      <c r="B28" s="12">
        <f t="shared" si="4"/>
        <v>100</v>
      </c>
      <c r="C28" s="19">
        <f t="shared" si="2"/>
        <v>94.920450933836861</v>
      </c>
      <c r="D28" s="18">
        <f t="shared" ref="D28:P28" si="7">D8/$B$8*100</f>
        <v>0</v>
      </c>
      <c r="E28" s="18">
        <f t="shared" si="7"/>
        <v>0</v>
      </c>
      <c r="F28" s="18">
        <f t="shared" si="7"/>
        <v>5.7806277926302609</v>
      </c>
      <c r="G28" s="18">
        <f t="shared" si="7"/>
        <v>80.94935407280002</v>
      </c>
      <c r="H28" s="18">
        <f t="shared" ref="H28" si="8">H8/$B$6*100</f>
        <v>0</v>
      </c>
      <c r="I28" s="18">
        <f t="shared" si="7"/>
        <v>7.6557796930209951</v>
      </c>
      <c r="J28" s="18">
        <f t="shared" si="7"/>
        <v>0.2131279328460057</v>
      </c>
      <c r="K28" s="18">
        <f t="shared" si="7"/>
        <v>4.2999495223316947E-2</v>
      </c>
      <c r="L28" s="18">
        <f t="shared" si="7"/>
        <v>0</v>
      </c>
      <c r="M28" s="18">
        <f t="shared" si="7"/>
        <v>0.24491016844584867</v>
      </c>
      <c r="N28" s="18">
        <f t="shared" si="7"/>
        <v>2.6173605788105965E-2</v>
      </c>
      <c r="O28" s="18">
        <f t="shared" si="7"/>
        <v>7.4781730823159894E-3</v>
      </c>
      <c r="P28" s="18">
        <f t="shared" si="7"/>
        <v>0</v>
      </c>
    </row>
    <row r="29" spans="1:16" x14ac:dyDescent="0.2">
      <c r="A29" s="16" t="s">
        <v>0</v>
      </c>
      <c r="B29" s="12">
        <f t="shared" si="4"/>
        <v>100</v>
      </c>
      <c r="C29" s="19">
        <f t="shared" si="2"/>
        <v>25.557119653492148</v>
      </c>
      <c r="D29" s="18">
        <f t="shared" ref="D29:P29" si="9">D9/$B$9*100</f>
        <v>0</v>
      </c>
      <c r="E29" s="18">
        <f t="shared" si="9"/>
        <v>0</v>
      </c>
      <c r="F29" s="18">
        <f t="shared" si="9"/>
        <v>0</v>
      </c>
      <c r="G29" s="18">
        <f t="shared" si="9"/>
        <v>6.4623714131023275</v>
      </c>
      <c r="H29" s="18">
        <f t="shared" ref="H29" si="10">H9/$B$6*100</f>
        <v>0</v>
      </c>
      <c r="I29" s="18">
        <f t="shared" si="9"/>
        <v>1.0438548998375743</v>
      </c>
      <c r="J29" s="18">
        <f t="shared" si="9"/>
        <v>5.1976177585273411E-2</v>
      </c>
      <c r="K29" s="18">
        <f t="shared" si="9"/>
        <v>16.833784515430427</v>
      </c>
      <c r="L29" s="18">
        <f t="shared" si="9"/>
        <v>3.8982133188955062E-2</v>
      </c>
      <c r="M29" s="18">
        <f t="shared" si="9"/>
        <v>3.8982133188955062E-2</v>
      </c>
      <c r="N29" s="18">
        <f t="shared" si="9"/>
        <v>4.3313481321061182E-3</v>
      </c>
      <c r="O29" s="18">
        <f t="shared" si="9"/>
        <v>1.0828370330265296</v>
      </c>
      <c r="P29" s="18">
        <f t="shared" si="9"/>
        <v>0</v>
      </c>
    </row>
    <row r="30" spans="1:16" x14ac:dyDescent="0.2">
      <c r="A30" s="16" t="s">
        <v>54</v>
      </c>
      <c r="B30" s="12">
        <f t="shared" si="4"/>
        <v>100</v>
      </c>
      <c r="C30" s="19">
        <f t="shared" si="2"/>
        <v>76.028393266457996</v>
      </c>
      <c r="D30" s="18">
        <f t="shared" ref="D30:P30" si="11">D10/$B$10*100</f>
        <v>0</v>
      </c>
      <c r="E30" s="18">
        <f t="shared" si="11"/>
        <v>0</v>
      </c>
      <c r="F30" s="18">
        <f t="shared" si="11"/>
        <v>0.52005027974268603</v>
      </c>
      <c r="G30" s="18">
        <f t="shared" si="11"/>
        <v>8.6264264412293887E-2</v>
      </c>
      <c r="H30" s="18">
        <f t="shared" ref="H30" si="12">H10/$B$6*100</f>
        <v>0</v>
      </c>
      <c r="I30" s="18">
        <f t="shared" si="11"/>
        <v>20.252384590737684</v>
      </c>
      <c r="J30" s="18">
        <f t="shared" si="11"/>
        <v>50.760357873462645</v>
      </c>
      <c r="K30" s="18">
        <f t="shared" si="11"/>
        <v>4.197372636975329</v>
      </c>
      <c r="L30" s="18">
        <f t="shared" si="11"/>
        <v>9.6123037487984619E-2</v>
      </c>
      <c r="M30" s="18">
        <f t="shared" si="11"/>
        <v>9.119365095013926E-2</v>
      </c>
      <c r="N30" s="18">
        <f t="shared" si="11"/>
        <v>4.9293865378453655E-3</v>
      </c>
      <c r="O30" s="18">
        <f t="shared" si="11"/>
        <v>1.7252852882458779E-2</v>
      </c>
      <c r="P30" s="18">
        <f t="shared" si="11"/>
        <v>2.4646932689226827E-3</v>
      </c>
    </row>
    <row r="31" spans="1:16" x14ac:dyDescent="0.2">
      <c r="A31" s="16" t="s">
        <v>8</v>
      </c>
      <c r="B31" s="12">
        <f t="shared" si="4"/>
        <v>100</v>
      </c>
      <c r="C31" s="19">
        <f t="shared" si="2"/>
        <v>63.799228389166885</v>
      </c>
      <c r="D31" s="18">
        <f t="shared" ref="D31:P31" si="13">D11/$B$11*100</f>
        <v>0</v>
      </c>
      <c r="E31" s="18">
        <f t="shared" si="13"/>
        <v>0</v>
      </c>
      <c r="F31" s="18">
        <f t="shared" si="13"/>
        <v>0.10695595706482294</v>
      </c>
      <c r="G31" s="18">
        <f t="shared" si="13"/>
        <v>1.9099278047289812E-2</v>
      </c>
      <c r="H31" s="18">
        <f t="shared" ref="H31" si="14">H11/$B$6*100</f>
        <v>0</v>
      </c>
      <c r="I31" s="18">
        <f t="shared" si="13"/>
        <v>2.7732151724664806</v>
      </c>
      <c r="J31" s="18">
        <f t="shared" si="13"/>
        <v>23.373696474273274</v>
      </c>
      <c r="K31" s="18">
        <f t="shared" si="13"/>
        <v>36.701172695672099</v>
      </c>
      <c r="L31" s="18">
        <f t="shared" si="13"/>
        <v>0.56533863019977848</v>
      </c>
      <c r="M31" s="18">
        <f t="shared" si="13"/>
        <v>2.6738989266205736E-2</v>
      </c>
      <c r="N31" s="18">
        <f t="shared" si="13"/>
        <v>3.8198556094579629E-3</v>
      </c>
      <c r="O31" s="18">
        <f t="shared" si="13"/>
        <v>0.22919133656747773</v>
      </c>
      <c r="P31" s="18">
        <f t="shared" si="13"/>
        <v>0</v>
      </c>
    </row>
    <row r="32" spans="1:16" x14ac:dyDescent="0.2">
      <c r="A32" s="16" t="s">
        <v>55</v>
      </c>
      <c r="B32" s="12">
        <f t="shared" si="4"/>
        <v>100</v>
      </c>
      <c r="C32" s="19">
        <f t="shared" si="2"/>
        <v>83.570246046697491</v>
      </c>
      <c r="D32" s="18">
        <f t="shared" ref="D32:P32" si="15">D12/$B$12*100</f>
        <v>0</v>
      </c>
      <c r="E32" s="18">
        <f t="shared" si="15"/>
        <v>0</v>
      </c>
      <c r="F32" s="18">
        <f t="shared" si="15"/>
        <v>8.5631101215961625E-3</v>
      </c>
      <c r="G32" s="18">
        <f t="shared" si="15"/>
        <v>1.1417480162128218E-2</v>
      </c>
      <c r="H32" s="18">
        <f t="shared" ref="H32" si="16">H12/$B$6*100</f>
        <v>0</v>
      </c>
      <c r="I32" s="18">
        <f t="shared" si="15"/>
        <v>0.29685448421533367</v>
      </c>
      <c r="J32" s="18">
        <f t="shared" si="15"/>
        <v>0.11417480162128218</v>
      </c>
      <c r="K32" s="18">
        <f t="shared" si="15"/>
        <v>7.7381971798824001</v>
      </c>
      <c r="L32" s="18">
        <f t="shared" si="15"/>
        <v>75.343951589884114</v>
      </c>
      <c r="M32" s="18">
        <f t="shared" si="15"/>
        <v>2.8543700405320544E-3</v>
      </c>
      <c r="N32" s="18">
        <f t="shared" si="15"/>
        <v>0</v>
      </c>
      <c r="O32" s="18">
        <f t="shared" si="15"/>
        <v>4.2815550607980819E-2</v>
      </c>
      <c r="P32" s="18">
        <f t="shared" si="15"/>
        <v>1.1417480162128218E-2</v>
      </c>
    </row>
    <row r="33" spans="1:17" x14ac:dyDescent="0.2">
      <c r="A33" s="16" t="s">
        <v>9</v>
      </c>
      <c r="B33" s="12">
        <f t="shared" si="4"/>
        <v>100</v>
      </c>
      <c r="C33" s="19">
        <f t="shared" si="2"/>
        <v>25.244520386518975</v>
      </c>
      <c r="D33" s="18">
        <f t="shared" ref="D33:P33" si="17">D13/$B$13*100</f>
        <v>0</v>
      </c>
      <c r="E33" s="18">
        <f t="shared" si="17"/>
        <v>0</v>
      </c>
      <c r="F33" s="18">
        <f t="shared" si="17"/>
        <v>8.8380862597218952E-3</v>
      </c>
      <c r="G33" s="18">
        <f t="shared" si="17"/>
        <v>2.9460287532406316E-3</v>
      </c>
      <c r="H33" s="18">
        <f t="shared" ref="H33" si="18">H13/$B$6*100</f>
        <v>0</v>
      </c>
      <c r="I33" s="18">
        <f t="shared" si="17"/>
        <v>0.38003770916804147</v>
      </c>
      <c r="J33" s="18">
        <f t="shared" si="17"/>
        <v>2.6514258779165682E-2</v>
      </c>
      <c r="K33" s="18">
        <f t="shared" si="17"/>
        <v>3.4851520150836675</v>
      </c>
      <c r="L33" s="18">
        <f t="shared" si="17"/>
        <v>21.22024510959227</v>
      </c>
      <c r="M33" s="18">
        <f t="shared" si="17"/>
        <v>0</v>
      </c>
      <c r="N33" s="18">
        <f t="shared" si="17"/>
        <v>0</v>
      </c>
      <c r="O33" s="18">
        <f t="shared" si="17"/>
        <v>0.11489512137638463</v>
      </c>
      <c r="P33" s="18">
        <f t="shared" si="17"/>
        <v>5.8920575064812632E-3</v>
      </c>
    </row>
    <row r="34" spans="1:17" x14ac:dyDescent="0.2">
      <c r="A34" s="16" t="s">
        <v>56</v>
      </c>
      <c r="B34" s="12">
        <f t="shared" si="4"/>
        <v>100</v>
      </c>
      <c r="C34" s="19">
        <f t="shared" si="2"/>
        <v>86.881472957422332</v>
      </c>
      <c r="D34" s="18">
        <f t="shared" ref="D34:P34" si="19">D14/$B$14*100</f>
        <v>0</v>
      </c>
      <c r="E34" s="18">
        <f t="shared" si="19"/>
        <v>0</v>
      </c>
      <c r="F34" s="18">
        <f t="shared" si="19"/>
        <v>1.9562715765247412</v>
      </c>
      <c r="G34" s="18">
        <f t="shared" si="19"/>
        <v>0.57537399309551207</v>
      </c>
      <c r="H34" s="18">
        <f t="shared" ref="H34" si="20">H14/$B$6*100</f>
        <v>0</v>
      </c>
      <c r="I34" s="18">
        <f t="shared" si="19"/>
        <v>2.6467203682393556</v>
      </c>
      <c r="J34" s="18">
        <f t="shared" si="19"/>
        <v>0.34522439585730724</v>
      </c>
      <c r="K34" s="18">
        <f t="shared" si="19"/>
        <v>0.23014959723820483</v>
      </c>
      <c r="L34" s="18">
        <f t="shared" si="19"/>
        <v>0</v>
      </c>
      <c r="M34" s="18">
        <f t="shared" si="19"/>
        <v>15.18987341772152</v>
      </c>
      <c r="N34" s="18">
        <f t="shared" si="19"/>
        <v>62.83084004602992</v>
      </c>
      <c r="O34" s="18">
        <f t="shared" si="19"/>
        <v>2.991944764096663</v>
      </c>
      <c r="P34" s="18">
        <f t="shared" si="19"/>
        <v>0.11507479861910241</v>
      </c>
    </row>
    <row r="35" spans="1:17" x14ac:dyDescent="0.2">
      <c r="A35" s="16" t="s">
        <v>10</v>
      </c>
      <c r="B35" s="12">
        <f t="shared" si="4"/>
        <v>100</v>
      </c>
      <c r="C35" s="19">
        <f t="shared" si="2"/>
        <v>76.82926829268294</v>
      </c>
      <c r="D35" s="18">
        <f t="shared" ref="D35:P35" si="21">D15/$B$15*100</f>
        <v>0</v>
      </c>
      <c r="E35" s="18">
        <f t="shared" si="21"/>
        <v>0</v>
      </c>
      <c r="F35" s="18">
        <f t="shared" si="21"/>
        <v>0.1524390243902439</v>
      </c>
      <c r="G35" s="18">
        <f t="shared" si="21"/>
        <v>0.6097560975609756</v>
      </c>
      <c r="H35" s="18">
        <f t="shared" ref="H35" si="22">H15/$B$6*100</f>
        <v>0</v>
      </c>
      <c r="I35" s="18">
        <f t="shared" si="21"/>
        <v>1.524390243902439</v>
      </c>
      <c r="J35" s="18">
        <f t="shared" si="21"/>
        <v>0</v>
      </c>
      <c r="K35" s="18">
        <f t="shared" si="21"/>
        <v>5.4878048780487809</v>
      </c>
      <c r="L35" s="18">
        <f t="shared" si="21"/>
        <v>0</v>
      </c>
      <c r="M35" s="18">
        <f t="shared" si="21"/>
        <v>1.8292682926829267</v>
      </c>
      <c r="N35" s="18">
        <f t="shared" si="21"/>
        <v>19.664634146341463</v>
      </c>
      <c r="O35" s="18">
        <f t="shared" si="21"/>
        <v>46.798780487804883</v>
      </c>
      <c r="P35" s="18">
        <f t="shared" si="21"/>
        <v>0.76219512195121952</v>
      </c>
    </row>
    <row r="36" spans="1:17" x14ac:dyDescent="0.2">
      <c r="A36" s="16" t="s">
        <v>57</v>
      </c>
      <c r="B36" s="12">
        <f t="shared" si="4"/>
        <v>100</v>
      </c>
      <c r="C36" s="19">
        <f t="shared" si="2"/>
        <v>82.066381156316908</v>
      </c>
      <c r="D36" s="18">
        <f t="shared" ref="D36:P36" si="23">D16/$B$16*100</f>
        <v>0</v>
      </c>
      <c r="E36" s="18">
        <f t="shared" si="23"/>
        <v>0</v>
      </c>
      <c r="F36" s="18">
        <f t="shared" si="23"/>
        <v>0</v>
      </c>
      <c r="G36" s="18">
        <f t="shared" si="23"/>
        <v>0</v>
      </c>
      <c r="H36" s="18">
        <f t="shared" ref="H36" si="24">H16/$B$6*100</f>
        <v>0</v>
      </c>
      <c r="I36" s="18">
        <f t="shared" si="23"/>
        <v>0.37473233404710921</v>
      </c>
      <c r="J36" s="18">
        <f t="shared" si="23"/>
        <v>5.353319057815846E-2</v>
      </c>
      <c r="K36" s="18">
        <f t="shared" si="23"/>
        <v>1.6595289079229123</v>
      </c>
      <c r="L36" s="18">
        <f t="shared" si="23"/>
        <v>0</v>
      </c>
      <c r="M36" s="18">
        <f t="shared" si="23"/>
        <v>0.16059957173447537</v>
      </c>
      <c r="N36" s="18">
        <f t="shared" si="23"/>
        <v>0</v>
      </c>
      <c r="O36" s="18">
        <f t="shared" si="23"/>
        <v>11.991434689507495</v>
      </c>
      <c r="P36" s="18">
        <f t="shared" si="23"/>
        <v>67.826552462526763</v>
      </c>
    </row>
    <row r="37" spans="1:17" x14ac:dyDescent="0.2">
      <c r="A37" s="16" t="s">
        <v>11</v>
      </c>
      <c r="B37" s="12">
        <f t="shared" si="4"/>
        <v>100</v>
      </c>
      <c r="C37" s="19">
        <f t="shared" si="2"/>
        <v>45.798319327731093</v>
      </c>
      <c r="D37" s="18">
        <f t="shared" ref="D37:P37" si="25">D17/$B$17*100</f>
        <v>0</v>
      </c>
      <c r="E37" s="18">
        <f t="shared" si="25"/>
        <v>0</v>
      </c>
      <c r="F37" s="18">
        <f t="shared" si="25"/>
        <v>0</v>
      </c>
      <c r="G37" s="18">
        <f t="shared" si="25"/>
        <v>0</v>
      </c>
      <c r="H37" s="18">
        <f t="shared" ref="H37" si="26">H17/$B$6*100</f>
        <v>0</v>
      </c>
      <c r="I37" s="18">
        <f t="shared" si="25"/>
        <v>0.31512605042016806</v>
      </c>
      <c r="J37" s="18">
        <f t="shared" si="25"/>
        <v>0</v>
      </c>
      <c r="K37" s="18">
        <f t="shared" si="25"/>
        <v>0.94537815126050417</v>
      </c>
      <c r="L37" s="18">
        <f t="shared" si="25"/>
        <v>0.15756302521008403</v>
      </c>
      <c r="M37" s="18">
        <f t="shared" si="25"/>
        <v>0.26260504201680673</v>
      </c>
      <c r="N37" s="18">
        <f t="shared" si="25"/>
        <v>0.21008403361344538</v>
      </c>
      <c r="O37" s="18">
        <f t="shared" si="25"/>
        <v>3.5714285714285712</v>
      </c>
      <c r="P37" s="18">
        <f t="shared" si="25"/>
        <v>40.336134453781511</v>
      </c>
    </row>
    <row r="38" spans="1:17" ht="15" thickBot="1" x14ac:dyDescent="0.25">
      <c r="A38" s="25" t="s">
        <v>13</v>
      </c>
      <c r="B38" s="28">
        <f t="shared" si="4"/>
        <v>100</v>
      </c>
      <c r="C38" s="29">
        <f t="shared" si="2"/>
        <v>74.780186639074543</v>
      </c>
      <c r="D38" s="29">
        <f t="shared" ref="D38:P38" si="27">D18/$B$18*100</f>
        <v>0.53206357301530482</v>
      </c>
      <c r="E38" s="29">
        <f t="shared" si="27"/>
        <v>19.967585804445793</v>
      </c>
      <c r="F38" s="29">
        <f t="shared" si="27"/>
        <v>12.52212845044453</v>
      </c>
      <c r="G38" s="29">
        <f t="shared" si="27"/>
        <v>11.36139621327658</v>
      </c>
      <c r="H38" s="29">
        <f t="shared" si="27"/>
        <v>5.7864978447747441E-2</v>
      </c>
      <c r="I38" s="29">
        <f t="shared" si="27"/>
        <v>8.6032473041294999</v>
      </c>
      <c r="J38" s="29">
        <f t="shared" si="27"/>
        <v>6.5968527336298504</v>
      </c>
      <c r="K38" s="29">
        <f t="shared" si="27"/>
        <v>5.6609602644135286</v>
      </c>
      <c r="L38" s="29">
        <f t="shared" si="27"/>
        <v>8.2891581626398203</v>
      </c>
      <c r="M38" s="29">
        <f t="shared" si="27"/>
        <v>0.20914757040647694</v>
      </c>
      <c r="N38" s="29">
        <f t="shared" si="27"/>
        <v>0.17114302947681231</v>
      </c>
      <c r="O38" s="29">
        <f t="shared" si="27"/>
        <v>0.30648823330374703</v>
      </c>
      <c r="P38" s="29">
        <f t="shared" si="27"/>
        <v>0.50215032144485905</v>
      </c>
    </row>
    <row r="39" spans="1:17" x14ac:dyDescent="0.2">
      <c r="A39" s="7" t="s">
        <v>47</v>
      </c>
      <c r="B39" s="7"/>
      <c r="Q39" s="20"/>
    </row>
    <row r="40" spans="1:17" x14ac:dyDescent="0.2">
      <c r="A40" s="7"/>
      <c r="B40" s="7"/>
    </row>
    <row r="41" spans="1:17" ht="22.5" customHeight="1" x14ac:dyDescent="0.25">
      <c r="A41" s="65" t="s">
        <v>46</v>
      </c>
      <c r="B41" s="60" t="s">
        <v>63</v>
      </c>
      <c r="C41" s="3"/>
      <c r="D41" s="3"/>
      <c r="E41" s="3"/>
    </row>
    <row r="42" spans="1:17" ht="16.5" customHeight="1" thickBot="1" x14ac:dyDescent="0.55000000000000004">
      <c r="A42" s="56"/>
      <c r="B42" s="10" t="s">
        <v>59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17"/>
      <c r="P42" s="21" t="s">
        <v>3</v>
      </c>
    </row>
    <row r="43" spans="1:17" ht="34.5" customHeight="1" x14ac:dyDescent="0.2">
      <c r="A43" s="74" t="s">
        <v>64</v>
      </c>
      <c r="B43" s="58"/>
      <c r="C43" s="55"/>
      <c r="D43" s="55"/>
      <c r="E43" s="55"/>
      <c r="F43" s="55"/>
      <c r="G43" s="55"/>
      <c r="H43" s="63" t="s">
        <v>60</v>
      </c>
      <c r="I43" s="55"/>
      <c r="J43" s="55"/>
      <c r="K43" s="55"/>
      <c r="L43" s="55"/>
      <c r="M43" s="55"/>
      <c r="N43" s="55"/>
      <c r="O43" s="55"/>
      <c r="P43" s="55"/>
    </row>
    <row r="44" spans="1:17" ht="43.5" customHeight="1" x14ac:dyDescent="0.2">
      <c r="A44" s="72" t="s">
        <v>73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61</v>
      </c>
      <c r="I44" s="24" t="s">
        <v>54</v>
      </c>
      <c r="J44" s="24" t="s">
        <v>8</v>
      </c>
      <c r="K44" s="24" t="s">
        <v>55</v>
      </c>
      <c r="L44" s="24" t="s">
        <v>9</v>
      </c>
      <c r="M44" s="24" t="s">
        <v>56</v>
      </c>
      <c r="N44" s="24" t="s">
        <v>10</v>
      </c>
      <c r="O44" s="24" t="s">
        <v>57</v>
      </c>
      <c r="P44" s="24" t="s">
        <v>11</v>
      </c>
    </row>
    <row r="45" spans="1:17" ht="14.25" customHeight="1" x14ac:dyDescent="0.25">
      <c r="A45" s="16" t="s">
        <v>51</v>
      </c>
      <c r="B45" s="22"/>
      <c r="C45" s="19">
        <f t="shared" ref="C45:C56" si="28">C6/$C$18*100</f>
        <v>26.496780201188241</v>
      </c>
      <c r="D45" s="18">
        <f t="shared" ref="D45:D57" si="29">D6/$D$18*100</f>
        <v>100</v>
      </c>
      <c r="E45" s="18">
        <f t="shared" ref="E45:E57" si="30">E6/$E$18*100</f>
        <v>96.318626668467658</v>
      </c>
      <c r="F45" s="18">
        <f t="shared" ref="F45:F57" si="31">F6/$F$18*100</f>
        <v>0</v>
      </c>
      <c r="G45" s="18">
        <f t="shared" ref="G45:G57" si="32">G6/$G$18*100</f>
        <v>0</v>
      </c>
      <c r="H45" s="18">
        <f>H6/$H$18*100</f>
        <v>86.016949152542381</v>
      </c>
      <c r="I45" s="18">
        <f t="shared" ref="I45:I57" si="33">I6/$I$18*100</f>
        <v>0</v>
      </c>
      <c r="J45" s="18">
        <f t="shared" ref="J45:J57" si="34">J6/$J$18*100</f>
        <v>0</v>
      </c>
      <c r="K45" s="18">
        <f t="shared" ref="K45:K57" si="35">K6/$K$18*100</f>
        <v>0</v>
      </c>
      <c r="L45" s="18">
        <f t="shared" ref="L45:L57" si="36">L6/$L$18*100</f>
        <v>0</v>
      </c>
      <c r="M45" s="18">
        <f t="shared" ref="M45:M57" si="37">M6/$M$18*100</f>
        <v>0</v>
      </c>
      <c r="N45" s="18">
        <f t="shared" ref="N45:N57" si="38">N6/$N$18*100</f>
        <v>0</v>
      </c>
      <c r="O45" s="18">
        <f t="shared" ref="O45:O57" si="39">O6/$O$18*100</f>
        <v>0</v>
      </c>
      <c r="P45" s="18">
        <f t="shared" ref="P45:P57" si="40">P6/$P$18*100</f>
        <v>0</v>
      </c>
    </row>
    <row r="46" spans="1:17" ht="15" x14ac:dyDescent="0.25">
      <c r="A46" s="16" t="s">
        <v>52</v>
      </c>
      <c r="B46" s="22"/>
      <c r="C46" s="19">
        <f t="shared" si="28"/>
        <v>23.785525987907722</v>
      </c>
      <c r="D46" s="18">
        <f t="shared" si="29"/>
        <v>0</v>
      </c>
      <c r="E46" s="18">
        <f t="shared" si="30"/>
        <v>3.6813733315323507</v>
      </c>
      <c r="F46" s="18">
        <f t="shared" si="31"/>
        <v>93.430714103894573</v>
      </c>
      <c r="G46" s="18">
        <f t="shared" si="32"/>
        <v>0</v>
      </c>
      <c r="H46" s="18">
        <f t="shared" ref="H46:H56" si="41">H7/$H$18*100</f>
        <v>13.983050847457626</v>
      </c>
      <c r="I46" s="18">
        <f t="shared" si="33"/>
        <v>60.673164614683081</v>
      </c>
      <c r="J46" s="18">
        <f t="shared" si="34"/>
        <v>0</v>
      </c>
      <c r="K46" s="18">
        <f t="shared" si="35"/>
        <v>0</v>
      </c>
      <c r="L46" s="18">
        <f t="shared" si="36"/>
        <v>0</v>
      </c>
      <c r="M46" s="18">
        <f t="shared" si="37"/>
        <v>59.437280187573272</v>
      </c>
      <c r="N46" s="18">
        <f t="shared" si="38"/>
        <v>0</v>
      </c>
      <c r="O46" s="18">
        <f t="shared" si="39"/>
        <v>0</v>
      </c>
      <c r="P46" s="18">
        <f t="shared" si="40"/>
        <v>0</v>
      </c>
    </row>
    <row r="47" spans="1:17" ht="15" x14ac:dyDescent="0.25">
      <c r="A47" s="16" t="s">
        <v>53</v>
      </c>
      <c r="B47" s="22"/>
      <c r="C47" s="19">
        <f t="shared" si="28"/>
        <v>16.647212349338332</v>
      </c>
      <c r="D47" s="18">
        <f t="shared" si="29"/>
        <v>0</v>
      </c>
      <c r="E47" s="18">
        <f t="shared" si="30"/>
        <v>0</v>
      </c>
      <c r="F47" s="18">
        <f t="shared" si="31"/>
        <v>6.0543165397192142</v>
      </c>
      <c r="G47" s="18">
        <f t="shared" si="32"/>
        <v>93.443684312752225</v>
      </c>
      <c r="H47" s="18">
        <f t="shared" si="41"/>
        <v>0</v>
      </c>
      <c r="I47" s="18">
        <f t="shared" si="33"/>
        <v>11.670656634746921</v>
      </c>
      <c r="J47" s="18">
        <f t="shared" si="34"/>
        <v>0.42371306448615498</v>
      </c>
      <c r="K47" s="18">
        <f t="shared" si="35"/>
        <v>9.961884961884962E-2</v>
      </c>
      <c r="L47" s="18">
        <f t="shared" si="36"/>
        <v>0</v>
      </c>
      <c r="M47" s="18">
        <f t="shared" si="37"/>
        <v>15.357561547479484</v>
      </c>
      <c r="N47" s="18">
        <f t="shared" si="38"/>
        <v>2.005730659025788</v>
      </c>
      <c r="O47" s="18">
        <f t="shared" si="39"/>
        <v>0.32</v>
      </c>
      <c r="P47" s="18">
        <f t="shared" si="40"/>
        <v>0</v>
      </c>
    </row>
    <row r="48" spans="1:17" ht="15" x14ac:dyDescent="0.25">
      <c r="A48" s="16" t="s">
        <v>0</v>
      </c>
      <c r="B48" s="22"/>
      <c r="C48" s="19">
        <f t="shared" si="28"/>
        <v>3.8693325639041536</v>
      </c>
      <c r="D48" s="18">
        <f t="shared" si="29"/>
        <v>0</v>
      </c>
      <c r="E48" s="18">
        <f t="shared" si="30"/>
        <v>0</v>
      </c>
      <c r="F48" s="18">
        <f t="shared" si="31"/>
        <v>0</v>
      </c>
      <c r="G48" s="18">
        <f t="shared" si="32"/>
        <v>6.4397781470531115</v>
      </c>
      <c r="H48" s="18">
        <f t="shared" si="41"/>
        <v>0</v>
      </c>
      <c r="I48" s="18">
        <f t="shared" si="33"/>
        <v>1.373689010487916</v>
      </c>
      <c r="J48" s="18">
        <f t="shared" si="34"/>
        <v>8.9202750418137897E-2</v>
      </c>
      <c r="K48" s="18">
        <f t="shared" si="35"/>
        <v>33.666839916839919</v>
      </c>
      <c r="L48" s="18">
        <f t="shared" si="36"/>
        <v>5.3243411127872918E-2</v>
      </c>
      <c r="M48" s="18">
        <f t="shared" si="37"/>
        <v>2.1101992966002343</v>
      </c>
      <c r="N48" s="18">
        <f t="shared" si="38"/>
        <v>0.28653295128939826</v>
      </c>
      <c r="O48" s="18">
        <f t="shared" si="39"/>
        <v>40</v>
      </c>
      <c r="P48" s="18">
        <f t="shared" si="40"/>
        <v>0</v>
      </c>
    </row>
    <row r="49" spans="1:16" ht="15" x14ac:dyDescent="0.25">
      <c r="A49" s="16" t="s">
        <v>54</v>
      </c>
      <c r="B49" s="22"/>
      <c r="C49" s="19">
        <f t="shared" si="28"/>
        <v>10.11416842629874</v>
      </c>
      <c r="D49" s="18">
        <f t="shared" si="29"/>
        <v>0</v>
      </c>
      <c r="E49" s="18">
        <f t="shared" si="30"/>
        <v>0</v>
      </c>
      <c r="F49" s="18">
        <f t="shared" si="31"/>
        <v>0.41315032014254666</v>
      </c>
      <c r="G49" s="18">
        <f t="shared" si="32"/>
        <v>7.5533590866909819E-2</v>
      </c>
      <c r="H49" s="18">
        <f t="shared" si="41"/>
        <v>0</v>
      </c>
      <c r="I49" s="18">
        <f t="shared" si="33"/>
        <v>23.418262653898768</v>
      </c>
      <c r="J49" s="18">
        <f t="shared" si="34"/>
        <v>76.547110202564582</v>
      </c>
      <c r="K49" s="18">
        <f t="shared" si="35"/>
        <v>7.3761261261261257</v>
      </c>
      <c r="L49" s="18">
        <f t="shared" si="36"/>
        <v>0.11536072411039133</v>
      </c>
      <c r="M49" s="18">
        <f t="shared" si="37"/>
        <v>4.3376318874560376</v>
      </c>
      <c r="N49" s="18">
        <f t="shared" si="38"/>
        <v>0.28653295128939826</v>
      </c>
      <c r="O49" s="18">
        <f t="shared" si="39"/>
        <v>0.55999999999999994</v>
      </c>
      <c r="P49" s="18">
        <f t="shared" si="40"/>
        <v>4.8828125E-2</v>
      </c>
    </row>
    <row r="50" spans="1:16" ht="15" x14ac:dyDescent="0.25">
      <c r="A50" s="16" t="s">
        <v>8</v>
      </c>
      <c r="B50" s="22"/>
      <c r="C50" s="19">
        <f t="shared" si="28"/>
        <v>5.4762810340078953</v>
      </c>
      <c r="D50" s="18">
        <f t="shared" si="29"/>
        <v>0</v>
      </c>
      <c r="E50" s="18">
        <f t="shared" si="30"/>
        <v>0</v>
      </c>
      <c r="F50" s="18">
        <f t="shared" si="31"/>
        <v>5.4825634900432726E-2</v>
      </c>
      <c r="G50" s="18">
        <f t="shared" si="32"/>
        <v>1.0790512980987117E-2</v>
      </c>
      <c r="H50" s="18">
        <f t="shared" si="41"/>
        <v>0</v>
      </c>
      <c r="I50" s="18">
        <f t="shared" si="33"/>
        <v>2.0690834473324213</v>
      </c>
      <c r="J50" s="18">
        <f t="shared" si="34"/>
        <v>22.742984575357742</v>
      </c>
      <c r="K50" s="18">
        <f t="shared" si="35"/>
        <v>41.614691614691615</v>
      </c>
      <c r="L50" s="18">
        <f t="shared" si="36"/>
        <v>0.43777915816251073</v>
      </c>
      <c r="M50" s="18">
        <f t="shared" si="37"/>
        <v>0.82063305978898016</v>
      </c>
      <c r="N50" s="18">
        <f t="shared" si="38"/>
        <v>0.14326647564469913</v>
      </c>
      <c r="O50" s="18">
        <f t="shared" si="39"/>
        <v>4.8</v>
      </c>
      <c r="P50" s="18">
        <f t="shared" si="40"/>
        <v>0</v>
      </c>
    </row>
    <row r="51" spans="1:16" ht="15" x14ac:dyDescent="0.25">
      <c r="A51" s="16" t="s">
        <v>55</v>
      </c>
      <c r="B51" s="22"/>
      <c r="C51" s="19">
        <f t="shared" si="28"/>
        <v>9.5997219562736902</v>
      </c>
      <c r="D51" s="18">
        <f t="shared" si="29"/>
        <v>0</v>
      </c>
      <c r="E51" s="18">
        <f t="shared" si="30"/>
        <v>0</v>
      </c>
      <c r="F51" s="18">
        <f t="shared" si="31"/>
        <v>5.8741751679035068E-3</v>
      </c>
      <c r="G51" s="18">
        <f t="shared" si="32"/>
        <v>8.6324103847896932E-3</v>
      </c>
      <c r="H51" s="18">
        <f t="shared" si="41"/>
        <v>0</v>
      </c>
      <c r="I51" s="18">
        <f t="shared" si="33"/>
        <v>0.29639762881896947</v>
      </c>
      <c r="J51" s="18">
        <f t="shared" si="34"/>
        <v>0.14867125069689649</v>
      </c>
      <c r="K51" s="18">
        <f t="shared" si="35"/>
        <v>11.742030492030493</v>
      </c>
      <c r="L51" s="18">
        <f t="shared" si="36"/>
        <v>78.078504451740756</v>
      </c>
      <c r="M51" s="18">
        <f t="shared" si="37"/>
        <v>0.11723329425556857</v>
      </c>
      <c r="N51" s="18">
        <f t="shared" si="38"/>
        <v>0</v>
      </c>
      <c r="O51" s="18">
        <f t="shared" si="39"/>
        <v>1.2</v>
      </c>
      <c r="P51" s="18">
        <f t="shared" si="40"/>
        <v>0.1953125</v>
      </c>
    </row>
    <row r="52" spans="1:16" ht="15" x14ac:dyDescent="0.25">
      <c r="A52" s="16" t="s">
        <v>9</v>
      </c>
      <c r="B52" s="22"/>
      <c r="C52" s="19">
        <f t="shared" si="28"/>
        <v>2.8096187390979317</v>
      </c>
      <c r="D52" s="18">
        <f t="shared" si="29"/>
        <v>0</v>
      </c>
      <c r="E52" s="18">
        <f t="shared" si="30"/>
        <v>0</v>
      </c>
      <c r="F52" s="18">
        <f t="shared" si="31"/>
        <v>5.8741751679035068E-3</v>
      </c>
      <c r="G52" s="18">
        <f t="shared" si="32"/>
        <v>2.1581025961974233E-3</v>
      </c>
      <c r="H52" s="18">
        <f t="shared" si="41"/>
        <v>0</v>
      </c>
      <c r="I52" s="18">
        <f t="shared" si="33"/>
        <v>0.36764705882352938</v>
      </c>
      <c r="J52" s="18">
        <f t="shared" si="34"/>
        <v>3.345103140680171E-2</v>
      </c>
      <c r="K52" s="18">
        <f t="shared" si="35"/>
        <v>5.1238738738738734</v>
      </c>
      <c r="L52" s="18">
        <f t="shared" si="36"/>
        <v>21.306238353003813</v>
      </c>
      <c r="M52" s="18">
        <f t="shared" si="37"/>
        <v>0</v>
      </c>
      <c r="N52" s="18">
        <f t="shared" si="38"/>
        <v>0</v>
      </c>
      <c r="O52" s="18">
        <f t="shared" si="39"/>
        <v>3.1199999999999997</v>
      </c>
      <c r="P52" s="18">
        <f t="shared" si="40"/>
        <v>9.765625E-2</v>
      </c>
    </row>
    <row r="53" spans="1:16" ht="15" x14ac:dyDescent="0.25">
      <c r="A53" s="16" t="s">
        <v>56</v>
      </c>
      <c r="B53" s="22"/>
      <c r="C53" s="19">
        <f t="shared" si="28"/>
        <v>0.2475507233071465</v>
      </c>
      <c r="D53" s="18">
        <f t="shared" si="29"/>
        <v>0</v>
      </c>
      <c r="E53" s="18">
        <f t="shared" si="30"/>
        <v>0</v>
      </c>
      <c r="F53" s="18">
        <f t="shared" si="31"/>
        <v>3.3286992618119869E-2</v>
      </c>
      <c r="G53" s="18">
        <f t="shared" si="32"/>
        <v>1.0790512980987117E-2</v>
      </c>
      <c r="H53" s="18">
        <f t="shared" si="41"/>
        <v>0</v>
      </c>
      <c r="I53" s="18">
        <f t="shared" si="33"/>
        <v>6.5549475604195162E-2</v>
      </c>
      <c r="J53" s="18">
        <f t="shared" si="34"/>
        <v>1.1150343802267237E-2</v>
      </c>
      <c r="K53" s="18">
        <f t="shared" si="35"/>
        <v>8.6625086625086618E-3</v>
      </c>
      <c r="L53" s="18">
        <f t="shared" si="36"/>
        <v>0</v>
      </c>
      <c r="M53" s="18">
        <f t="shared" si="37"/>
        <v>15.474794841735054</v>
      </c>
      <c r="N53" s="18">
        <f t="shared" si="38"/>
        <v>78.223495702005735</v>
      </c>
      <c r="O53" s="18">
        <f t="shared" si="39"/>
        <v>2.08</v>
      </c>
      <c r="P53" s="18">
        <f t="shared" si="40"/>
        <v>4.8828125E-2</v>
      </c>
    </row>
    <row r="54" spans="1:16" ht="15" x14ac:dyDescent="0.25">
      <c r="A54" s="16" t="s">
        <v>10</v>
      </c>
      <c r="B54" s="22"/>
      <c r="C54" s="19">
        <f t="shared" si="28"/>
        <v>0.16525240337324748</v>
      </c>
      <c r="D54" s="18">
        <f t="shared" si="29"/>
        <v>0</v>
      </c>
      <c r="E54" s="18">
        <f t="shared" si="30"/>
        <v>0</v>
      </c>
      <c r="F54" s="18">
        <f t="shared" si="31"/>
        <v>1.9580583893011689E-3</v>
      </c>
      <c r="G54" s="18">
        <f t="shared" si="32"/>
        <v>8.6324103847896932E-3</v>
      </c>
      <c r="H54" s="18">
        <f t="shared" si="41"/>
        <v>0</v>
      </c>
      <c r="I54" s="18">
        <f t="shared" si="33"/>
        <v>2.8499772001823985E-2</v>
      </c>
      <c r="J54" s="18">
        <f t="shared" si="34"/>
        <v>0</v>
      </c>
      <c r="K54" s="18">
        <f t="shared" si="35"/>
        <v>0.15592515592515593</v>
      </c>
      <c r="L54" s="18">
        <f t="shared" si="36"/>
        <v>0</v>
      </c>
      <c r="M54" s="18">
        <f t="shared" si="37"/>
        <v>1.4067995310668231</v>
      </c>
      <c r="N54" s="18">
        <f t="shared" si="38"/>
        <v>18.48137535816619</v>
      </c>
      <c r="O54" s="18">
        <f t="shared" si="39"/>
        <v>24.560000000000002</v>
      </c>
      <c r="P54" s="18">
        <f t="shared" si="40"/>
        <v>0.244140625</v>
      </c>
    </row>
    <row r="55" spans="1:16" ht="15" x14ac:dyDescent="0.25">
      <c r="A55" s="16" t="s">
        <v>57</v>
      </c>
      <c r="B55" s="22"/>
      <c r="C55" s="19">
        <f t="shared" si="28"/>
        <v>0.5026427269269611</v>
      </c>
      <c r="D55" s="18">
        <f t="shared" si="29"/>
        <v>0</v>
      </c>
      <c r="E55" s="18">
        <f t="shared" si="30"/>
        <v>0</v>
      </c>
      <c r="F55" s="18">
        <f t="shared" si="31"/>
        <v>0</v>
      </c>
      <c r="G55" s="18">
        <f t="shared" si="32"/>
        <v>0</v>
      </c>
      <c r="H55" s="18">
        <f t="shared" si="41"/>
        <v>0</v>
      </c>
      <c r="I55" s="18">
        <f t="shared" si="33"/>
        <v>1.994984040127679E-2</v>
      </c>
      <c r="J55" s="18">
        <f t="shared" si="34"/>
        <v>3.7167812674224125E-3</v>
      </c>
      <c r="K55" s="18">
        <f t="shared" si="35"/>
        <v>0.13426888426888425</v>
      </c>
      <c r="L55" s="18">
        <f t="shared" si="36"/>
        <v>0</v>
      </c>
      <c r="M55" s="18">
        <f t="shared" si="37"/>
        <v>0.35169988276670577</v>
      </c>
      <c r="N55" s="18">
        <f t="shared" si="38"/>
        <v>0</v>
      </c>
      <c r="O55" s="18">
        <f t="shared" si="39"/>
        <v>17.919999999999998</v>
      </c>
      <c r="P55" s="18">
        <f t="shared" si="40"/>
        <v>61.865234375</v>
      </c>
    </row>
    <row r="56" spans="1:16" ht="15" x14ac:dyDescent="0.25">
      <c r="A56" s="16" t="s">
        <v>11</v>
      </c>
      <c r="B56" s="22"/>
      <c r="C56" s="19">
        <f t="shared" si="28"/>
        <v>0.28591288837593609</v>
      </c>
      <c r="D56" s="18">
        <f t="shared" si="29"/>
        <v>0</v>
      </c>
      <c r="E56" s="18">
        <f t="shared" si="30"/>
        <v>0</v>
      </c>
      <c r="F56" s="18">
        <f t="shared" si="31"/>
        <v>0</v>
      </c>
      <c r="G56" s="18">
        <f t="shared" si="32"/>
        <v>0</v>
      </c>
      <c r="H56" s="18">
        <f t="shared" si="41"/>
        <v>0</v>
      </c>
      <c r="I56" s="18">
        <f t="shared" si="33"/>
        <v>1.7099863201094391E-2</v>
      </c>
      <c r="J56" s="18">
        <f t="shared" si="34"/>
        <v>0</v>
      </c>
      <c r="K56" s="18">
        <f t="shared" si="35"/>
        <v>7.7962577962577967E-2</v>
      </c>
      <c r="L56" s="18">
        <f t="shared" si="36"/>
        <v>8.8739018546454881E-3</v>
      </c>
      <c r="M56" s="18">
        <f t="shared" si="37"/>
        <v>0.58616647127784294</v>
      </c>
      <c r="N56" s="18">
        <f t="shared" si="38"/>
        <v>0.57306590257879653</v>
      </c>
      <c r="O56" s="18">
        <f t="shared" si="39"/>
        <v>5.4399999999999995</v>
      </c>
      <c r="P56" s="18">
        <f t="shared" si="40"/>
        <v>37.5</v>
      </c>
    </row>
    <row r="57" spans="1:16" ht="15.75" thickBot="1" x14ac:dyDescent="0.3">
      <c r="A57" s="25" t="s">
        <v>13</v>
      </c>
      <c r="B57" s="26"/>
      <c r="C57" s="27">
        <f>C18/C18*100</f>
        <v>100</v>
      </c>
      <c r="D57" s="27">
        <f t="shared" si="29"/>
        <v>100</v>
      </c>
      <c r="E57" s="27">
        <f t="shared" si="30"/>
        <v>100</v>
      </c>
      <c r="F57" s="27">
        <f t="shared" si="31"/>
        <v>100</v>
      </c>
      <c r="G57" s="27">
        <f t="shared" si="32"/>
        <v>100</v>
      </c>
      <c r="H57" s="27">
        <f>H18/$H$18*100</f>
        <v>100</v>
      </c>
      <c r="I57" s="27">
        <f t="shared" si="33"/>
        <v>100</v>
      </c>
      <c r="J57" s="27">
        <f t="shared" si="34"/>
        <v>100</v>
      </c>
      <c r="K57" s="27">
        <f t="shared" si="35"/>
        <v>100</v>
      </c>
      <c r="L57" s="27">
        <f t="shared" si="36"/>
        <v>100</v>
      </c>
      <c r="M57" s="27">
        <f t="shared" si="37"/>
        <v>100</v>
      </c>
      <c r="N57" s="27">
        <f t="shared" si="38"/>
        <v>100</v>
      </c>
      <c r="O57" s="27">
        <f t="shared" si="39"/>
        <v>100</v>
      </c>
      <c r="P57" s="27">
        <f t="shared" si="40"/>
        <v>100</v>
      </c>
    </row>
    <row r="58" spans="1:16" x14ac:dyDescent="0.2">
      <c r="A58" s="7" t="s">
        <v>47</v>
      </c>
      <c r="B58" s="7"/>
    </row>
    <row r="59" spans="1:16" x14ac:dyDescent="0.2">
      <c r="A59" s="7"/>
      <c r="B59" s="7"/>
    </row>
    <row r="60" spans="1:16" x14ac:dyDescent="0.2">
      <c r="A60" s="7"/>
      <c r="B60" s="7"/>
    </row>
    <row r="61" spans="1:16" x14ac:dyDescent="0.2">
      <c r="A61" s="7"/>
      <c r="B61" s="7"/>
    </row>
    <row r="62" spans="1:16" x14ac:dyDescent="0.2">
      <c r="A62" s="7"/>
      <c r="B62" s="7"/>
    </row>
    <row r="63" spans="1:16" x14ac:dyDescent="0.2">
      <c r="A63" s="7"/>
      <c r="B63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showGridLines="0" zoomScaleNormal="100" workbookViewId="0">
      <selection activeCell="C6" sqref="C6"/>
    </sheetView>
  </sheetViews>
  <sheetFormatPr defaultColWidth="9.140625" defaultRowHeight="14.25" x14ac:dyDescent="0.2"/>
  <cols>
    <col min="1" max="1" width="11.42578125" style="2" customWidth="1"/>
    <col min="2" max="16" width="12.140625" style="2" customWidth="1"/>
    <col min="17" max="17" width="12.5703125" style="2" customWidth="1"/>
    <col min="18" max="16384" width="9.140625" style="2"/>
  </cols>
  <sheetData>
    <row r="1" spans="1:16" ht="36.75" customHeight="1" x14ac:dyDescent="0.2"/>
    <row r="2" spans="1:16" ht="28.5" customHeight="1" x14ac:dyDescent="0.25">
      <c r="A2" s="65" t="s">
        <v>44</v>
      </c>
      <c r="B2" s="60" t="s">
        <v>74</v>
      </c>
      <c r="C2" s="3"/>
      <c r="D2" s="3"/>
      <c r="E2" s="3"/>
    </row>
    <row r="3" spans="1:16" ht="16.5" customHeight="1" thickBot="1" x14ac:dyDescent="0.55000000000000004">
      <c r="A3" s="52"/>
      <c r="B3" s="10" t="s">
        <v>75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17"/>
      <c r="P3" s="6" t="s">
        <v>2</v>
      </c>
    </row>
    <row r="4" spans="1:16" ht="32.25" customHeight="1" x14ac:dyDescent="0.2">
      <c r="A4" s="74" t="s">
        <v>64</v>
      </c>
      <c r="B4" s="58"/>
      <c r="C4" s="68"/>
      <c r="D4" s="68"/>
      <c r="E4" s="68"/>
      <c r="F4" s="68"/>
      <c r="G4" s="68"/>
      <c r="H4" s="63" t="s">
        <v>78</v>
      </c>
      <c r="I4" s="68"/>
      <c r="J4" s="68"/>
      <c r="K4" s="68"/>
      <c r="L4" s="68"/>
      <c r="M4" s="68"/>
      <c r="N4" s="68"/>
      <c r="O4" s="68"/>
      <c r="P4" s="68"/>
    </row>
    <row r="5" spans="1:16" ht="43.5" customHeight="1" x14ac:dyDescent="0.2">
      <c r="A5" s="72" t="s">
        <v>77</v>
      </c>
      <c r="B5" s="54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61</v>
      </c>
      <c r="I5" s="24" t="s">
        <v>54</v>
      </c>
      <c r="J5" s="24" t="s">
        <v>8</v>
      </c>
      <c r="K5" s="24" t="s">
        <v>55</v>
      </c>
      <c r="L5" s="24" t="s">
        <v>9</v>
      </c>
      <c r="M5" s="24" t="s">
        <v>56</v>
      </c>
      <c r="N5" s="24" t="s">
        <v>10</v>
      </c>
      <c r="O5" s="24" t="s">
        <v>57</v>
      </c>
      <c r="P5" s="24" t="s">
        <v>11</v>
      </c>
    </row>
    <row r="6" spans="1:16" ht="14.25" customHeight="1" x14ac:dyDescent="0.2">
      <c r="A6" s="16" t="s">
        <v>51</v>
      </c>
      <c r="B6" s="48">
        <v>88595</v>
      </c>
      <c r="C6" s="49">
        <f>SUM(D6:P6)</f>
        <v>84701</v>
      </c>
      <c r="D6" s="50">
        <v>2100</v>
      </c>
      <c r="E6" s="50">
        <v>82165</v>
      </c>
      <c r="F6" s="50"/>
      <c r="G6" s="51"/>
      <c r="H6" s="51">
        <v>436</v>
      </c>
      <c r="I6" s="50"/>
      <c r="J6" s="51"/>
      <c r="K6" s="51"/>
      <c r="L6" s="51"/>
      <c r="M6" s="50"/>
      <c r="N6" s="51"/>
      <c r="O6" s="51"/>
      <c r="P6" s="51"/>
    </row>
    <row r="7" spans="1:16" x14ac:dyDescent="0.2">
      <c r="A7" s="16" t="s">
        <v>52</v>
      </c>
      <c r="B7" s="48">
        <v>85038</v>
      </c>
      <c r="C7" s="49">
        <f t="shared" ref="C7:C17" si="0">SUM(D7:P7)</f>
        <v>74241</v>
      </c>
      <c r="D7" s="50"/>
      <c r="E7" s="50">
        <v>2968</v>
      </c>
      <c r="F7" s="50">
        <v>47838</v>
      </c>
      <c r="G7" s="50"/>
      <c r="H7" s="50">
        <v>39</v>
      </c>
      <c r="I7" s="50">
        <v>22800</v>
      </c>
      <c r="J7" s="50">
        <v>23</v>
      </c>
      <c r="K7" s="50"/>
      <c r="L7" s="51"/>
      <c r="M7" s="50">
        <v>573</v>
      </c>
      <c r="N7" s="51"/>
      <c r="O7" s="51"/>
      <c r="P7" s="51"/>
    </row>
    <row r="8" spans="1:16" x14ac:dyDescent="0.2">
      <c r="A8" s="16" t="s">
        <v>53</v>
      </c>
      <c r="B8" s="48">
        <v>52893</v>
      </c>
      <c r="C8" s="49">
        <f t="shared" si="0"/>
        <v>50705</v>
      </c>
      <c r="D8" s="51"/>
      <c r="E8" s="51"/>
      <c r="F8" s="50">
        <v>2997</v>
      </c>
      <c r="G8" s="50">
        <v>43482</v>
      </c>
      <c r="H8" s="50"/>
      <c r="I8" s="50">
        <v>3942</v>
      </c>
      <c r="J8" s="50">
        <v>148</v>
      </c>
      <c r="K8" s="50">
        <v>27</v>
      </c>
      <c r="L8" s="51"/>
      <c r="M8" s="50">
        <v>92</v>
      </c>
      <c r="N8" s="50">
        <v>14</v>
      </c>
      <c r="O8" s="50">
        <v>3</v>
      </c>
      <c r="P8" s="51"/>
    </row>
    <row r="9" spans="1:16" x14ac:dyDescent="0.2">
      <c r="A9" s="16" t="s">
        <v>0</v>
      </c>
      <c r="B9" s="48">
        <v>47038</v>
      </c>
      <c r="C9" s="49">
        <f t="shared" si="0"/>
        <v>12379</v>
      </c>
      <c r="D9" s="51"/>
      <c r="E9" s="51"/>
      <c r="F9" s="50"/>
      <c r="G9" s="50">
        <v>2686</v>
      </c>
      <c r="H9" s="50"/>
      <c r="I9" s="50">
        <v>428</v>
      </c>
      <c r="J9" s="50">
        <v>45</v>
      </c>
      <c r="K9" s="50">
        <v>8700</v>
      </c>
      <c r="L9" s="50">
        <v>22</v>
      </c>
      <c r="M9" s="50">
        <v>10</v>
      </c>
      <c r="N9" s="50"/>
      <c r="O9" s="50">
        <v>484</v>
      </c>
      <c r="P9" s="51">
        <v>4</v>
      </c>
    </row>
    <row r="10" spans="1:16" x14ac:dyDescent="0.2">
      <c r="A10" s="16" t="s">
        <v>54</v>
      </c>
      <c r="B10" s="48">
        <v>44777</v>
      </c>
      <c r="C10" s="49">
        <f t="shared" si="0"/>
        <v>34657</v>
      </c>
      <c r="D10" s="51"/>
      <c r="E10" s="51"/>
      <c r="F10" s="50">
        <v>269</v>
      </c>
      <c r="G10" s="50">
        <v>44</v>
      </c>
      <c r="H10" s="50"/>
      <c r="I10" s="50">
        <v>9294</v>
      </c>
      <c r="J10" s="50">
        <v>23028</v>
      </c>
      <c r="K10" s="50">
        <v>1924</v>
      </c>
      <c r="L10" s="50">
        <v>52</v>
      </c>
      <c r="M10" s="50">
        <v>39</v>
      </c>
      <c r="N10" s="50">
        <v>3</v>
      </c>
      <c r="O10" s="50">
        <v>3</v>
      </c>
      <c r="P10" s="51">
        <v>1</v>
      </c>
    </row>
    <row r="11" spans="1:16" x14ac:dyDescent="0.2">
      <c r="A11" s="16" t="s">
        <v>8</v>
      </c>
      <c r="B11" s="48">
        <v>29086</v>
      </c>
      <c r="C11" s="49">
        <f t="shared" si="0"/>
        <v>18993</v>
      </c>
      <c r="D11" s="51"/>
      <c r="E11" s="51"/>
      <c r="F11" s="50">
        <v>36</v>
      </c>
      <c r="G11" s="50">
        <v>4</v>
      </c>
      <c r="H11" s="50"/>
      <c r="I11" s="50">
        <v>641</v>
      </c>
      <c r="J11" s="50">
        <v>6303</v>
      </c>
      <c r="K11" s="50">
        <v>11810</v>
      </c>
      <c r="L11" s="50">
        <v>120</v>
      </c>
      <c r="M11" s="50">
        <v>9</v>
      </c>
      <c r="N11" s="51">
        <v>2</v>
      </c>
      <c r="O11" s="50">
        <v>64</v>
      </c>
      <c r="P11" s="50">
        <v>4</v>
      </c>
    </row>
    <row r="12" spans="1:16" x14ac:dyDescent="0.2">
      <c r="A12" s="16" t="s">
        <v>55</v>
      </c>
      <c r="B12" s="48">
        <v>34168</v>
      </c>
      <c r="C12" s="49">
        <f t="shared" si="0"/>
        <v>28910</v>
      </c>
      <c r="D12" s="51"/>
      <c r="E12" s="51"/>
      <c r="F12" s="50">
        <v>7</v>
      </c>
      <c r="G12" s="50">
        <v>5</v>
      </c>
      <c r="H12" s="50"/>
      <c r="I12" s="50">
        <v>96</v>
      </c>
      <c r="J12" s="50">
        <v>8</v>
      </c>
      <c r="K12" s="50">
        <v>2717</v>
      </c>
      <c r="L12" s="50">
        <v>26058</v>
      </c>
      <c r="M12" s="51"/>
      <c r="N12" s="51"/>
      <c r="O12" s="50">
        <v>15</v>
      </c>
      <c r="P12" s="50">
        <v>4</v>
      </c>
    </row>
    <row r="13" spans="1:16" x14ac:dyDescent="0.2">
      <c r="A13" s="16" t="s">
        <v>9</v>
      </c>
      <c r="B13" s="48">
        <v>34312</v>
      </c>
      <c r="C13" s="49">
        <f t="shared" si="0"/>
        <v>8579</v>
      </c>
      <c r="D13" s="51"/>
      <c r="E13" s="51"/>
      <c r="F13" s="50">
        <v>1</v>
      </c>
      <c r="G13" s="51">
        <v>1</v>
      </c>
      <c r="H13" s="51"/>
      <c r="I13" s="50">
        <v>91</v>
      </c>
      <c r="J13" s="50">
        <v>15</v>
      </c>
      <c r="K13" s="50">
        <v>1136</v>
      </c>
      <c r="L13" s="50">
        <v>7295</v>
      </c>
      <c r="M13" s="51"/>
      <c r="N13" s="50"/>
      <c r="O13" s="50">
        <v>37</v>
      </c>
      <c r="P13" s="50">
        <v>3</v>
      </c>
    </row>
    <row r="14" spans="1:16" x14ac:dyDescent="0.2">
      <c r="A14" s="16" t="s">
        <v>56</v>
      </c>
      <c r="B14" s="48">
        <v>1021</v>
      </c>
      <c r="C14" s="49">
        <f t="shared" si="0"/>
        <v>872</v>
      </c>
      <c r="D14" s="51"/>
      <c r="E14" s="51"/>
      <c r="F14" s="50">
        <v>18</v>
      </c>
      <c r="G14" s="50"/>
      <c r="H14" s="50"/>
      <c r="I14" s="50">
        <v>16</v>
      </c>
      <c r="J14" s="50">
        <v>2</v>
      </c>
      <c r="K14" s="51">
        <v>4</v>
      </c>
      <c r="L14" s="51"/>
      <c r="M14" s="50">
        <v>112</v>
      </c>
      <c r="N14" s="50">
        <v>682</v>
      </c>
      <c r="O14" s="50">
        <v>37</v>
      </c>
      <c r="P14" s="50">
        <v>1</v>
      </c>
    </row>
    <row r="15" spans="1:16" x14ac:dyDescent="0.2">
      <c r="A15" s="16" t="s">
        <v>10</v>
      </c>
      <c r="B15" s="48">
        <v>687</v>
      </c>
      <c r="C15" s="49">
        <f t="shared" si="0"/>
        <v>498</v>
      </c>
      <c r="D15" s="51"/>
      <c r="E15" s="51"/>
      <c r="F15" s="50">
        <v>2</v>
      </c>
      <c r="G15" s="50">
        <v>5</v>
      </c>
      <c r="H15" s="50"/>
      <c r="I15" s="50">
        <v>11</v>
      </c>
      <c r="J15" s="51">
        <v>4</v>
      </c>
      <c r="K15" s="50">
        <v>45</v>
      </c>
      <c r="L15" s="50">
        <v>1</v>
      </c>
      <c r="M15" s="50">
        <v>9</v>
      </c>
      <c r="N15" s="50">
        <v>85</v>
      </c>
      <c r="O15" s="50">
        <v>326</v>
      </c>
      <c r="P15" s="50">
        <v>10</v>
      </c>
    </row>
    <row r="16" spans="1:16" x14ac:dyDescent="0.2">
      <c r="A16" s="16" t="s">
        <v>57</v>
      </c>
      <c r="B16" s="48">
        <v>1874</v>
      </c>
      <c r="C16" s="49">
        <f t="shared" si="0"/>
        <v>1527</v>
      </c>
      <c r="D16" s="51"/>
      <c r="E16" s="51"/>
      <c r="F16" s="51"/>
      <c r="G16" s="51">
        <v>3</v>
      </c>
      <c r="H16" s="51"/>
      <c r="I16" s="50">
        <v>2</v>
      </c>
      <c r="J16" s="51"/>
      <c r="K16" s="50">
        <v>43</v>
      </c>
      <c r="L16" s="50">
        <v>4</v>
      </c>
      <c r="M16" s="51"/>
      <c r="N16" s="50">
        <v>1</v>
      </c>
      <c r="O16" s="50">
        <v>190</v>
      </c>
      <c r="P16" s="50">
        <v>1284</v>
      </c>
    </row>
    <row r="17" spans="1:16" x14ac:dyDescent="0.2">
      <c r="A17" s="16" t="s">
        <v>11</v>
      </c>
      <c r="B17" s="48">
        <v>2148</v>
      </c>
      <c r="C17" s="49">
        <f t="shared" si="0"/>
        <v>902</v>
      </c>
      <c r="D17" s="51"/>
      <c r="E17" s="51"/>
      <c r="F17" s="51"/>
      <c r="G17" s="51"/>
      <c r="H17" s="51"/>
      <c r="I17" s="50">
        <v>3</v>
      </c>
      <c r="J17" s="50">
        <v>2</v>
      </c>
      <c r="K17" s="50">
        <v>40</v>
      </c>
      <c r="L17" s="50">
        <v>4</v>
      </c>
      <c r="M17" s="50">
        <v>2</v>
      </c>
      <c r="N17" s="50"/>
      <c r="O17" s="50">
        <v>79</v>
      </c>
      <c r="P17" s="50">
        <v>772</v>
      </c>
    </row>
    <row r="18" spans="1:16" ht="15" thickBot="1" x14ac:dyDescent="0.25">
      <c r="A18" s="25" t="s">
        <v>25</v>
      </c>
      <c r="B18" s="30">
        <f>SUM(B6:B17)</f>
        <v>421637</v>
      </c>
      <c r="C18" s="31">
        <f>SUM(C6:C17)</f>
        <v>316964</v>
      </c>
      <c r="D18" s="31">
        <f>SUM(D6:D17)</f>
        <v>2100</v>
      </c>
      <c r="E18" s="31">
        <f t="shared" ref="E18:P18" si="1">SUM(E6:E17)</f>
        <v>85133</v>
      </c>
      <c r="F18" s="31">
        <f t="shared" si="1"/>
        <v>51168</v>
      </c>
      <c r="G18" s="31">
        <f t="shared" si="1"/>
        <v>46230</v>
      </c>
      <c r="H18" s="31">
        <f t="shared" si="1"/>
        <v>475</v>
      </c>
      <c r="I18" s="31">
        <f t="shared" si="1"/>
        <v>37324</v>
      </c>
      <c r="J18" s="31">
        <f t="shared" si="1"/>
        <v>29578</v>
      </c>
      <c r="K18" s="31">
        <f t="shared" si="1"/>
        <v>26446</v>
      </c>
      <c r="L18" s="31">
        <f t="shared" si="1"/>
        <v>33556</v>
      </c>
      <c r="M18" s="31">
        <f t="shared" si="1"/>
        <v>846</v>
      </c>
      <c r="N18" s="31">
        <f t="shared" si="1"/>
        <v>787</v>
      </c>
      <c r="O18" s="31">
        <f t="shared" si="1"/>
        <v>1238</v>
      </c>
      <c r="P18" s="31">
        <f t="shared" si="1"/>
        <v>2083</v>
      </c>
    </row>
    <row r="19" spans="1:16" x14ac:dyDescent="0.2">
      <c r="A19" s="7" t="s">
        <v>47</v>
      </c>
      <c r="B19" s="7"/>
    </row>
    <row r="20" spans="1:16" x14ac:dyDescent="0.2">
      <c r="A20" s="11"/>
    </row>
    <row r="21" spans="1:16" ht="10.5" customHeight="1" x14ac:dyDescent="0.2">
      <c r="A21" s="11"/>
    </row>
    <row r="22" spans="1:16" ht="33" customHeight="1" x14ac:dyDescent="0.25">
      <c r="A22" s="65" t="s">
        <v>45</v>
      </c>
      <c r="B22" s="60" t="s">
        <v>76</v>
      </c>
      <c r="C22" s="3"/>
      <c r="D22" s="3"/>
      <c r="E22" s="3"/>
    </row>
    <row r="23" spans="1:16" ht="16.5" customHeight="1" thickBot="1" x14ac:dyDescent="0.55000000000000004">
      <c r="A23" s="56"/>
      <c r="B23" s="10" t="s">
        <v>75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17"/>
      <c r="P23" s="21" t="s">
        <v>3</v>
      </c>
    </row>
    <row r="24" spans="1:16" ht="34.5" customHeight="1" x14ac:dyDescent="0.2">
      <c r="A24" s="74" t="s">
        <v>64</v>
      </c>
      <c r="B24" s="74"/>
      <c r="C24" s="55"/>
      <c r="D24" s="55"/>
      <c r="E24" s="55"/>
      <c r="F24" s="55"/>
      <c r="G24" s="55"/>
      <c r="H24" s="63" t="s">
        <v>78</v>
      </c>
      <c r="I24" s="55"/>
      <c r="J24" s="55"/>
      <c r="K24" s="55"/>
      <c r="L24" s="55"/>
      <c r="M24" s="55"/>
      <c r="N24" s="55"/>
      <c r="O24" s="55"/>
      <c r="P24" s="55"/>
    </row>
    <row r="25" spans="1:16" ht="43.5" customHeight="1" x14ac:dyDescent="0.2">
      <c r="A25" s="72" t="s">
        <v>77</v>
      </c>
      <c r="B25" s="75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61</v>
      </c>
      <c r="I25" s="24" t="s">
        <v>54</v>
      </c>
      <c r="J25" s="24" t="s">
        <v>8</v>
      </c>
      <c r="K25" s="24" t="s">
        <v>55</v>
      </c>
      <c r="L25" s="24" t="s">
        <v>9</v>
      </c>
      <c r="M25" s="24" t="s">
        <v>56</v>
      </c>
      <c r="N25" s="24" t="s">
        <v>10</v>
      </c>
      <c r="O25" s="24" t="s">
        <v>57</v>
      </c>
      <c r="P25" s="24" t="s">
        <v>11</v>
      </c>
    </row>
    <row r="26" spans="1:16" ht="14.25" customHeight="1" x14ac:dyDescent="0.2">
      <c r="A26" s="16" t="s">
        <v>51</v>
      </c>
      <c r="B26" s="12">
        <f>B6/B6*100</f>
        <v>100</v>
      </c>
      <c r="C26" s="19">
        <f t="shared" ref="C26:C38" si="2">SUM(D26:P26)</f>
        <v>95.604718099215546</v>
      </c>
      <c r="D26" s="18">
        <f>D6/$B$6*100</f>
        <v>2.3703369264631187</v>
      </c>
      <c r="E26" s="18">
        <f t="shared" ref="E26:P37" si="3">E6/$B$6*100</f>
        <v>92.74225407754389</v>
      </c>
      <c r="F26" s="18">
        <f t="shared" si="3"/>
        <v>0</v>
      </c>
      <c r="G26" s="18">
        <f t="shared" si="3"/>
        <v>0</v>
      </c>
      <c r="H26" s="18">
        <f t="shared" si="3"/>
        <v>0.49212709520853315</v>
      </c>
      <c r="I26" s="18">
        <f t="shared" si="3"/>
        <v>0</v>
      </c>
      <c r="J26" s="18">
        <f t="shared" si="3"/>
        <v>0</v>
      </c>
      <c r="K26" s="18">
        <f t="shared" si="3"/>
        <v>0</v>
      </c>
      <c r="L26" s="18">
        <f t="shared" si="3"/>
        <v>0</v>
      </c>
      <c r="M26" s="18">
        <f t="shared" si="3"/>
        <v>0</v>
      </c>
      <c r="N26" s="18">
        <f t="shared" si="3"/>
        <v>0</v>
      </c>
      <c r="O26" s="18">
        <f t="shared" si="3"/>
        <v>0</v>
      </c>
      <c r="P26" s="18">
        <f t="shared" si="3"/>
        <v>0</v>
      </c>
    </row>
    <row r="27" spans="1:16" x14ac:dyDescent="0.2">
      <c r="A27" s="16" t="s">
        <v>52</v>
      </c>
      <c r="B27" s="12">
        <f t="shared" ref="B27:B38" si="4">B7/B7*100</f>
        <v>100</v>
      </c>
      <c r="C27" s="19">
        <f t="shared" si="2"/>
        <v>87.301481913130985</v>
      </c>
      <c r="D27" s="18">
        <f t="shared" ref="D27:P27" si="5">D7/$B$7*100</f>
        <v>0</v>
      </c>
      <c r="E27" s="18">
        <f t="shared" si="5"/>
        <v>3.4902043792187025</v>
      </c>
      <c r="F27" s="18">
        <f t="shared" si="5"/>
        <v>56.254850772595773</v>
      </c>
      <c r="G27" s="18">
        <f t="shared" si="5"/>
        <v>0</v>
      </c>
      <c r="H27" s="18">
        <f t="shared" si="3"/>
        <v>4.4020542920029347E-2</v>
      </c>
      <c r="I27" s="18">
        <f t="shared" si="5"/>
        <v>26.811543074860651</v>
      </c>
      <c r="J27" s="18">
        <f t="shared" si="5"/>
        <v>2.7046732049201536E-2</v>
      </c>
      <c r="K27" s="18">
        <f t="shared" si="5"/>
        <v>0</v>
      </c>
      <c r="L27" s="18">
        <f t="shared" si="5"/>
        <v>0</v>
      </c>
      <c r="M27" s="18">
        <f t="shared" si="5"/>
        <v>0.67381641148662952</v>
      </c>
      <c r="N27" s="18">
        <f t="shared" si="5"/>
        <v>0</v>
      </c>
      <c r="O27" s="18">
        <f t="shared" si="5"/>
        <v>0</v>
      </c>
      <c r="P27" s="18">
        <f t="shared" si="5"/>
        <v>0</v>
      </c>
    </row>
    <row r="28" spans="1:16" x14ac:dyDescent="0.2">
      <c r="A28" s="16" t="s">
        <v>53</v>
      </c>
      <c r="B28" s="12">
        <f t="shared" si="4"/>
        <v>100</v>
      </c>
      <c r="C28" s="19">
        <f t="shared" si="2"/>
        <v>95.863346756659666</v>
      </c>
      <c r="D28" s="18">
        <f t="shared" ref="D28:P28" si="6">D8/$B$8*100</f>
        <v>0</v>
      </c>
      <c r="E28" s="18">
        <f t="shared" si="6"/>
        <v>0</v>
      </c>
      <c r="F28" s="18">
        <f t="shared" si="6"/>
        <v>5.6661562021439504</v>
      </c>
      <c r="G28" s="18">
        <f t="shared" si="6"/>
        <v>82.207475469343777</v>
      </c>
      <c r="H28" s="18">
        <f t="shared" si="3"/>
        <v>0</v>
      </c>
      <c r="I28" s="18">
        <f t="shared" si="6"/>
        <v>7.4527820316488009</v>
      </c>
      <c r="J28" s="18">
        <f t="shared" si="6"/>
        <v>0.27981018282192355</v>
      </c>
      <c r="K28" s="18">
        <f t="shared" si="6"/>
        <v>5.1046452271567129E-2</v>
      </c>
      <c r="L28" s="18">
        <f t="shared" si="6"/>
        <v>0</v>
      </c>
      <c r="M28" s="18">
        <f t="shared" si="6"/>
        <v>0.1739360595920065</v>
      </c>
      <c r="N28" s="18">
        <f t="shared" si="6"/>
        <v>2.6468530807479254E-2</v>
      </c>
      <c r="O28" s="18">
        <f t="shared" si="6"/>
        <v>5.6718280301741248E-3</v>
      </c>
      <c r="P28" s="18">
        <f t="shared" si="6"/>
        <v>0</v>
      </c>
    </row>
    <row r="29" spans="1:16" x14ac:dyDescent="0.2">
      <c r="A29" s="16" t="s">
        <v>0</v>
      </c>
      <c r="B29" s="12">
        <f t="shared" si="4"/>
        <v>100</v>
      </c>
      <c r="C29" s="19">
        <f t="shared" si="2"/>
        <v>26.317020281474555</v>
      </c>
      <c r="D29" s="18">
        <f t="shared" ref="D29:P29" si="7">D9/$B$9*100</f>
        <v>0</v>
      </c>
      <c r="E29" s="18">
        <f t="shared" si="7"/>
        <v>0</v>
      </c>
      <c r="F29" s="18">
        <f t="shared" si="7"/>
        <v>0</v>
      </c>
      <c r="G29" s="18">
        <f t="shared" si="7"/>
        <v>5.7102767974828863</v>
      </c>
      <c r="H29" s="18">
        <f t="shared" si="3"/>
        <v>0</v>
      </c>
      <c r="I29" s="18">
        <f t="shared" si="7"/>
        <v>0.90990263191462228</v>
      </c>
      <c r="J29" s="18">
        <f t="shared" si="7"/>
        <v>9.5667332794761681E-2</v>
      </c>
      <c r="K29" s="18">
        <f t="shared" si="7"/>
        <v>18.495684340320594</v>
      </c>
      <c r="L29" s="18">
        <f t="shared" si="7"/>
        <v>4.6770696032994601E-2</v>
      </c>
      <c r="M29" s="18">
        <f t="shared" si="7"/>
        <v>2.1259407287724817E-2</v>
      </c>
      <c r="N29" s="18">
        <f t="shared" si="7"/>
        <v>0</v>
      </c>
      <c r="O29" s="18">
        <f t="shared" si="7"/>
        <v>1.0289553127258813</v>
      </c>
      <c r="P29" s="18">
        <f t="shared" si="7"/>
        <v>8.5037629150899272E-3</v>
      </c>
    </row>
    <row r="30" spans="1:16" x14ac:dyDescent="0.2">
      <c r="A30" s="16" t="s">
        <v>54</v>
      </c>
      <c r="B30" s="12">
        <f t="shared" si="4"/>
        <v>100</v>
      </c>
      <c r="C30" s="19">
        <f t="shared" si="2"/>
        <v>77.399111150814022</v>
      </c>
      <c r="D30" s="18">
        <f t="shared" ref="D30:P30" si="8">D10/$B$10*100</f>
        <v>0</v>
      </c>
      <c r="E30" s="18">
        <f t="shared" si="8"/>
        <v>0</v>
      </c>
      <c r="F30" s="18">
        <f t="shared" si="8"/>
        <v>0.60075485182124755</v>
      </c>
      <c r="G30" s="18">
        <f t="shared" si="8"/>
        <v>9.82647341268955E-2</v>
      </c>
      <c r="H30" s="18">
        <f t="shared" si="3"/>
        <v>0</v>
      </c>
      <c r="I30" s="18">
        <f t="shared" si="8"/>
        <v>20.756191794894701</v>
      </c>
      <c r="J30" s="18">
        <f t="shared" si="8"/>
        <v>51.428188578957943</v>
      </c>
      <c r="K30" s="18">
        <f t="shared" si="8"/>
        <v>4.2968488286397033</v>
      </c>
      <c r="L30" s="18">
        <f t="shared" si="8"/>
        <v>0.1161310494226947</v>
      </c>
      <c r="M30" s="18">
        <f t="shared" si="8"/>
        <v>8.709828706702101E-2</v>
      </c>
      <c r="N30" s="18">
        <f t="shared" si="8"/>
        <v>6.6998682359246933E-3</v>
      </c>
      <c r="O30" s="18">
        <f t="shared" si="8"/>
        <v>6.6998682359246933E-3</v>
      </c>
      <c r="P30" s="18">
        <f t="shared" si="8"/>
        <v>2.2332894119748981E-3</v>
      </c>
    </row>
    <row r="31" spans="1:16" x14ac:dyDescent="0.2">
      <c r="A31" s="16" t="s">
        <v>8</v>
      </c>
      <c r="B31" s="12">
        <f t="shared" si="4"/>
        <v>100</v>
      </c>
      <c r="C31" s="19">
        <f t="shared" si="2"/>
        <v>65.29945678333219</v>
      </c>
      <c r="D31" s="18">
        <f t="shared" ref="D31:P31" si="9">D11/$B$11*100</f>
        <v>0</v>
      </c>
      <c r="E31" s="18">
        <f t="shared" si="9"/>
        <v>0</v>
      </c>
      <c r="F31" s="18">
        <f t="shared" si="9"/>
        <v>0.12377088633706938</v>
      </c>
      <c r="G31" s="18">
        <f t="shared" si="9"/>
        <v>1.3752320704118819E-2</v>
      </c>
      <c r="H31" s="18">
        <f t="shared" si="3"/>
        <v>0</v>
      </c>
      <c r="I31" s="18">
        <f t="shared" si="9"/>
        <v>2.2038093928350411</v>
      </c>
      <c r="J31" s="18">
        <f t="shared" si="9"/>
        <v>21.670219349515229</v>
      </c>
      <c r="K31" s="18">
        <f t="shared" si="9"/>
        <v>40.60372687891082</v>
      </c>
      <c r="L31" s="18">
        <f t="shared" si="9"/>
        <v>0.4125696211235646</v>
      </c>
      <c r="M31" s="18">
        <f t="shared" si="9"/>
        <v>3.0942721584267346E-2</v>
      </c>
      <c r="N31" s="18">
        <f t="shared" si="9"/>
        <v>6.8761603520594095E-3</v>
      </c>
      <c r="O31" s="18">
        <f t="shared" si="9"/>
        <v>0.2200371312659011</v>
      </c>
      <c r="P31" s="18">
        <f t="shared" si="9"/>
        <v>1.3752320704118819E-2</v>
      </c>
    </row>
    <row r="32" spans="1:16" x14ac:dyDescent="0.2">
      <c r="A32" s="16" t="s">
        <v>55</v>
      </c>
      <c r="B32" s="12">
        <f t="shared" si="4"/>
        <v>100</v>
      </c>
      <c r="C32" s="19">
        <f t="shared" si="2"/>
        <v>84.611332240693045</v>
      </c>
      <c r="D32" s="18">
        <f t="shared" ref="D32:P32" si="10">D12/$B$12*100</f>
        <v>0</v>
      </c>
      <c r="E32" s="18">
        <f t="shared" si="10"/>
        <v>0</v>
      </c>
      <c r="F32" s="18">
        <f t="shared" si="10"/>
        <v>2.0487005385155702E-2</v>
      </c>
      <c r="G32" s="18">
        <f t="shared" si="10"/>
        <v>1.4633575275111216E-2</v>
      </c>
      <c r="H32" s="18">
        <f t="shared" si="3"/>
        <v>0</v>
      </c>
      <c r="I32" s="18">
        <f t="shared" si="10"/>
        <v>0.28096464528213533</v>
      </c>
      <c r="J32" s="18">
        <f t="shared" si="10"/>
        <v>2.3413720440177945E-2</v>
      </c>
      <c r="K32" s="18">
        <f t="shared" si="10"/>
        <v>7.9518848044954353</v>
      </c>
      <c r="L32" s="18">
        <f t="shared" si="10"/>
        <v>76.264340903769607</v>
      </c>
      <c r="M32" s="18">
        <f t="shared" si="10"/>
        <v>0</v>
      </c>
      <c r="N32" s="18">
        <f t="shared" si="10"/>
        <v>0</v>
      </c>
      <c r="O32" s="18">
        <f t="shared" si="10"/>
        <v>4.3900725825333643E-2</v>
      </c>
      <c r="P32" s="18">
        <f t="shared" si="10"/>
        <v>1.1706860220088973E-2</v>
      </c>
    </row>
    <row r="33" spans="1:17" x14ac:dyDescent="0.2">
      <c r="A33" s="16" t="s">
        <v>9</v>
      </c>
      <c r="B33" s="12">
        <f t="shared" si="4"/>
        <v>100</v>
      </c>
      <c r="C33" s="19">
        <f t="shared" si="2"/>
        <v>25.002914432268593</v>
      </c>
      <c r="D33" s="18">
        <f t="shared" ref="D33:P33" si="11">D13/$B$13*100</f>
        <v>0</v>
      </c>
      <c r="E33" s="18">
        <f t="shared" si="11"/>
        <v>0</v>
      </c>
      <c r="F33" s="18">
        <f t="shared" si="11"/>
        <v>2.9144322685940778E-3</v>
      </c>
      <c r="G33" s="18">
        <f t="shared" si="11"/>
        <v>2.9144322685940778E-3</v>
      </c>
      <c r="H33" s="18">
        <f t="shared" si="3"/>
        <v>0</v>
      </c>
      <c r="I33" s="18">
        <f t="shared" si="11"/>
        <v>0.26521333644206108</v>
      </c>
      <c r="J33" s="18">
        <f t="shared" si="11"/>
        <v>4.3716484028911172E-2</v>
      </c>
      <c r="K33" s="18">
        <f t="shared" si="11"/>
        <v>3.3107950571228728</v>
      </c>
      <c r="L33" s="18">
        <f t="shared" si="11"/>
        <v>21.260783399393798</v>
      </c>
      <c r="M33" s="18">
        <f t="shared" si="11"/>
        <v>0</v>
      </c>
      <c r="N33" s="18">
        <f t="shared" si="11"/>
        <v>0</v>
      </c>
      <c r="O33" s="18">
        <f t="shared" si="11"/>
        <v>0.10783399393798088</v>
      </c>
      <c r="P33" s="18">
        <f t="shared" si="11"/>
        <v>8.7432968057822337E-3</v>
      </c>
    </row>
    <row r="34" spans="1:17" x14ac:dyDescent="0.2">
      <c r="A34" s="16" t="s">
        <v>56</v>
      </c>
      <c r="B34" s="12">
        <f t="shared" si="4"/>
        <v>100</v>
      </c>
      <c r="C34" s="19">
        <f t="shared" si="2"/>
        <v>85.406464250734572</v>
      </c>
      <c r="D34" s="18">
        <f t="shared" ref="D34:P34" si="12">D14/$B$14*100</f>
        <v>0</v>
      </c>
      <c r="E34" s="18">
        <f t="shared" si="12"/>
        <v>0</v>
      </c>
      <c r="F34" s="18">
        <f t="shared" si="12"/>
        <v>1.762977473065622</v>
      </c>
      <c r="G34" s="18">
        <f t="shared" si="12"/>
        <v>0</v>
      </c>
      <c r="H34" s="18">
        <f t="shared" si="3"/>
        <v>0</v>
      </c>
      <c r="I34" s="18">
        <f t="shared" si="12"/>
        <v>1.5670910871694417</v>
      </c>
      <c r="J34" s="18">
        <f t="shared" si="12"/>
        <v>0.19588638589618021</v>
      </c>
      <c r="K34" s="18">
        <f t="shared" si="12"/>
        <v>0.39177277179236042</v>
      </c>
      <c r="L34" s="18">
        <f t="shared" si="12"/>
        <v>0</v>
      </c>
      <c r="M34" s="18">
        <f t="shared" si="12"/>
        <v>10.969637610186092</v>
      </c>
      <c r="N34" s="18">
        <f t="shared" si="12"/>
        <v>66.797257590597454</v>
      </c>
      <c r="O34" s="18">
        <f t="shared" si="12"/>
        <v>3.6238981390793339</v>
      </c>
      <c r="P34" s="18">
        <f t="shared" si="12"/>
        <v>9.7943192948090105E-2</v>
      </c>
    </row>
    <row r="35" spans="1:17" x14ac:dyDescent="0.2">
      <c r="A35" s="16" t="s">
        <v>10</v>
      </c>
      <c r="B35" s="12">
        <f t="shared" si="4"/>
        <v>100</v>
      </c>
      <c r="C35" s="19">
        <f t="shared" si="2"/>
        <v>72.489082969432317</v>
      </c>
      <c r="D35" s="18">
        <f t="shared" ref="D35:P35" si="13">D15/$B$15*100</f>
        <v>0</v>
      </c>
      <c r="E35" s="18">
        <f t="shared" si="13"/>
        <v>0</v>
      </c>
      <c r="F35" s="18">
        <f t="shared" si="13"/>
        <v>0.29112081513828242</v>
      </c>
      <c r="G35" s="18">
        <f t="shared" si="13"/>
        <v>0.72780203784570596</v>
      </c>
      <c r="H35" s="18">
        <f t="shared" si="3"/>
        <v>0</v>
      </c>
      <c r="I35" s="18">
        <f t="shared" si="13"/>
        <v>1.6011644832605532</v>
      </c>
      <c r="J35" s="18">
        <f t="shared" si="13"/>
        <v>0.58224163027656484</v>
      </c>
      <c r="K35" s="18">
        <f t="shared" si="13"/>
        <v>6.5502183406113534</v>
      </c>
      <c r="L35" s="18">
        <f t="shared" si="13"/>
        <v>0.14556040756914121</v>
      </c>
      <c r="M35" s="18">
        <f t="shared" si="13"/>
        <v>1.3100436681222707</v>
      </c>
      <c r="N35" s="18">
        <f t="shared" si="13"/>
        <v>12.372634643377003</v>
      </c>
      <c r="O35" s="18">
        <f t="shared" si="13"/>
        <v>47.45269286754003</v>
      </c>
      <c r="P35" s="18">
        <f t="shared" si="13"/>
        <v>1.4556040756914119</v>
      </c>
    </row>
    <row r="36" spans="1:17" x14ac:dyDescent="0.2">
      <c r="A36" s="16" t="s">
        <v>57</v>
      </c>
      <c r="B36" s="12">
        <f t="shared" si="4"/>
        <v>100</v>
      </c>
      <c r="C36" s="19">
        <f t="shared" si="2"/>
        <v>81.483457844183562</v>
      </c>
      <c r="D36" s="18">
        <f t="shared" ref="D36:P36" si="14">D16/$B$16*100</f>
        <v>0</v>
      </c>
      <c r="E36" s="18">
        <f t="shared" si="14"/>
        <v>0</v>
      </c>
      <c r="F36" s="18">
        <f t="shared" si="14"/>
        <v>0</v>
      </c>
      <c r="G36" s="18">
        <f t="shared" si="14"/>
        <v>0.16008537886872998</v>
      </c>
      <c r="H36" s="18">
        <f t="shared" si="3"/>
        <v>0</v>
      </c>
      <c r="I36" s="18">
        <f t="shared" si="14"/>
        <v>0.10672358591248667</v>
      </c>
      <c r="J36" s="18">
        <f t="shared" si="14"/>
        <v>0</v>
      </c>
      <c r="K36" s="18">
        <f t="shared" si="14"/>
        <v>2.2945570971184632</v>
      </c>
      <c r="L36" s="18">
        <f t="shared" si="14"/>
        <v>0.21344717182497333</v>
      </c>
      <c r="M36" s="18">
        <f t="shared" si="14"/>
        <v>0</v>
      </c>
      <c r="N36" s="18">
        <f t="shared" si="14"/>
        <v>5.3361792956243333E-2</v>
      </c>
      <c r="O36" s="18">
        <f t="shared" si="14"/>
        <v>10.138740661686233</v>
      </c>
      <c r="P36" s="18">
        <f t="shared" si="14"/>
        <v>68.516542155816438</v>
      </c>
    </row>
    <row r="37" spans="1:17" x14ac:dyDescent="0.2">
      <c r="A37" s="16" t="s">
        <v>11</v>
      </c>
      <c r="B37" s="12">
        <f t="shared" si="4"/>
        <v>100</v>
      </c>
      <c r="C37" s="19">
        <f t="shared" si="2"/>
        <v>41.99255121042831</v>
      </c>
      <c r="D37" s="18">
        <f t="shared" ref="D37:P37" si="15">D17/$B$17*100</f>
        <v>0</v>
      </c>
      <c r="E37" s="18">
        <f t="shared" si="15"/>
        <v>0</v>
      </c>
      <c r="F37" s="18">
        <f t="shared" si="15"/>
        <v>0</v>
      </c>
      <c r="G37" s="18">
        <f t="shared" si="15"/>
        <v>0</v>
      </c>
      <c r="H37" s="18">
        <f t="shared" si="3"/>
        <v>0</v>
      </c>
      <c r="I37" s="18">
        <f t="shared" si="15"/>
        <v>0.13966480446927373</v>
      </c>
      <c r="J37" s="18">
        <f t="shared" si="15"/>
        <v>9.3109869646182494E-2</v>
      </c>
      <c r="K37" s="18">
        <f t="shared" si="15"/>
        <v>1.8621973929236499</v>
      </c>
      <c r="L37" s="18">
        <f t="shared" si="15"/>
        <v>0.18621973929236499</v>
      </c>
      <c r="M37" s="18">
        <f t="shared" si="15"/>
        <v>9.3109869646182494E-2</v>
      </c>
      <c r="N37" s="18">
        <f t="shared" si="15"/>
        <v>0</v>
      </c>
      <c r="O37" s="18">
        <f t="shared" si="15"/>
        <v>3.677839851024209</v>
      </c>
      <c r="P37" s="18">
        <f t="shared" si="15"/>
        <v>35.940409683426445</v>
      </c>
    </row>
    <row r="38" spans="1:17" ht="15" thickBot="1" x14ac:dyDescent="0.25">
      <c r="A38" s="25" t="s">
        <v>13</v>
      </c>
      <c r="B38" s="28">
        <f t="shared" si="4"/>
        <v>100</v>
      </c>
      <c r="C38" s="29">
        <f t="shared" si="2"/>
        <v>75.174617028391722</v>
      </c>
      <c r="D38" s="29">
        <f t="shared" ref="D38:P38" si="16">D18/$B$18*100</f>
        <v>0.49805875670304078</v>
      </c>
      <c r="E38" s="29">
        <f t="shared" si="16"/>
        <v>20.191064825904746</v>
      </c>
      <c r="F38" s="29">
        <f t="shared" si="16"/>
        <v>12.135557363324375</v>
      </c>
      <c r="G38" s="29">
        <f t="shared" si="16"/>
        <v>10.964407772562655</v>
      </c>
      <c r="H38" s="29">
        <f t="shared" si="16"/>
        <v>0.11265614734949732</v>
      </c>
      <c r="I38" s="29">
        <f t="shared" si="16"/>
        <v>8.8521643024687116</v>
      </c>
      <c r="J38" s="29">
        <f t="shared" si="16"/>
        <v>7.015039002744067</v>
      </c>
      <c r="K38" s="29">
        <f t="shared" si="16"/>
        <v>6.2722199427469594</v>
      </c>
      <c r="L38" s="29">
        <f t="shared" si="16"/>
        <v>7.9585045904415415</v>
      </c>
      <c r="M38" s="29">
        <f t="shared" si="16"/>
        <v>0.20064652770036784</v>
      </c>
      <c r="N38" s="29">
        <f t="shared" si="16"/>
        <v>0.18665344834537767</v>
      </c>
      <c r="O38" s="29">
        <f t="shared" si="16"/>
        <v>0.29361749561826878</v>
      </c>
      <c r="P38" s="29">
        <f t="shared" si="16"/>
        <v>0.49402685248211137</v>
      </c>
    </row>
    <row r="39" spans="1:17" x14ac:dyDescent="0.2">
      <c r="A39" s="7" t="s">
        <v>47</v>
      </c>
      <c r="B39" s="7"/>
      <c r="Q39" s="20"/>
    </row>
    <row r="40" spans="1:17" x14ac:dyDescent="0.2">
      <c r="A40" s="7"/>
      <c r="B40" s="7"/>
    </row>
    <row r="41" spans="1:17" ht="22.5" customHeight="1" x14ac:dyDescent="0.25">
      <c r="A41" s="65" t="s">
        <v>46</v>
      </c>
      <c r="B41" s="60" t="s">
        <v>79</v>
      </c>
      <c r="C41" s="3"/>
      <c r="D41" s="3"/>
      <c r="E41" s="3"/>
    </row>
    <row r="42" spans="1:17" ht="16.5" customHeight="1" thickBot="1" x14ac:dyDescent="0.55000000000000004">
      <c r="A42" s="56"/>
      <c r="B42" s="10" t="s">
        <v>75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17"/>
      <c r="P42" s="21" t="s">
        <v>3</v>
      </c>
    </row>
    <row r="43" spans="1:17" ht="34.5" customHeight="1" x14ac:dyDescent="0.2">
      <c r="A43" s="74" t="s">
        <v>64</v>
      </c>
      <c r="B43" s="58"/>
      <c r="C43" s="55"/>
      <c r="D43" s="55"/>
      <c r="E43" s="55"/>
      <c r="F43" s="55"/>
      <c r="G43" s="55"/>
      <c r="H43" s="63" t="s">
        <v>78</v>
      </c>
      <c r="I43" s="55"/>
      <c r="J43" s="55"/>
      <c r="K43" s="55"/>
      <c r="L43" s="55"/>
      <c r="M43" s="55"/>
      <c r="N43" s="55"/>
      <c r="O43" s="55"/>
      <c r="P43" s="55"/>
    </row>
    <row r="44" spans="1:17" ht="43.5" customHeight="1" x14ac:dyDescent="0.2">
      <c r="A44" s="72" t="s">
        <v>77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61</v>
      </c>
      <c r="I44" s="24" t="s">
        <v>54</v>
      </c>
      <c r="J44" s="24" t="s">
        <v>8</v>
      </c>
      <c r="K44" s="24" t="s">
        <v>55</v>
      </c>
      <c r="L44" s="24" t="s">
        <v>9</v>
      </c>
      <c r="M44" s="24" t="s">
        <v>56</v>
      </c>
      <c r="N44" s="24" t="s">
        <v>10</v>
      </c>
      <c r="O44" s="24" t="s">
        <v>57</v>
      </c>
      <c r="P44" s="24" t="s">
        <v>11</v>
      </c>
    </row>
    <row r="45" spans="1:17" ht="14.25" customHeight="1" x14ac:dyDescent="0.25">
      <c r="A45" s="16" t="s">
        <v>51</v>
      </c>
      <c r="B45" s="22"/>
      <c r="C45" s="19">
        <f t="shared" ref="C45:C56" si="17">C6/$C$18*100</f>
        <v>26.722593102055754</v>
      </c>
      <c r="D45" s="18">
        <f t="shared" ref="D45:D57" si="18">D6/$D$18*100</f>
        <v>100</v>
      </c>
      <c r="E45" s="18">
        <f t="shared" ref="E45:E57" si="19">E6/$E$18*100</f>
        <v>96.513690343345118</v>
      </c>
      <c r="F45" s="18">
        <f t="shared" ref="F45:F57" si="20">F6/$F$18*100</f>
        <v>0</v>
      </c>
      <c r="G45" s="18">
        <f t="shared" ref="G45:G57" si="21">G6/$G$18*100</f>
        <v>0</v>
      </c>
      <c r="H45" s="18">
        <f>H6/$H$18*100</f>
        <v>91.78947368421052</v>
      </c>
      <c r="I45" s="18">
        <f t="shared" ref="I45:I57" si="22">I6/$I$18*100</f>
        <v>0</v>
      </c>
      <c r="J45" s="18">
        <f t="shared" ref="J45:J57" si="23">J6/$J$18*100</f>
        <v>0</v>
      </c>
      <c r="K45" s="18">
        <f t="shared" ref="K45:K57" si="24">K6/$K$18*100</f>
        <v>0</v>
      </c>
      <c r="L45" s="18">
        <f t="shared" ref="L45:L57" si="25">L6/$L$18*100</f>
        <v>0</v>
      </c>
      <c r="M45" s="18">
        <f t="shared" ref="M45:M57" si="26">M6/$M$18*100</f>
        <v>0</v>
      </c>
      <c r="N45" s="18">
        <f t="shared" ref="N45:N57" si="27">N6/$N$18*100</f>
        <v>0</v>
      </c>
      <c r="O45" s="18">
        <f t="shared" ref="O45:O57" si="28">O6/$O$18*100</f>
        <v>0</v>
      </c>
      <c r="P45" s="18">
        <f t="shared" ref="P45:P57" si="29">P6/$P$18*100</f>
        <v>0</v>
      </c>
    </row>
    <row r="46" spans="1:17" ht="15" x14ac:dyDescent="0.25">
      <c r="A46" s="16" t="s">
        <v>52</v>
      </c>
      <c r="B46" s="22"/>
      <c r="C46" s="19">
        <f t="shared" si="17"/>
        <v>23.422533789326234</v>
      </c>
      <c r="D46" s="18">
        <f t="shared" si="18"/>
        <v>0</v>
      </c>
      <c r="E46" s="18">
        <f t="shared" si="19"/>
        <v>3.486309656654881</v>
      </c>
      <c r="F46" s="18">
        <f t="shared" si="20"/>
        <v>93.492026266416502</v>
      </c>
      <c r="G46" s="18">
        <f t="shared" si="21"/>
        <v>0</v>
      </c>
      <c r="H46" s="18">
        <f t="shared" ref="H46:H56" si="30">H7/$H$18*100</f>
        <v>8.2105263157894743</v>
      </c>
      <c r="I46" s="18">
        <f t="shared" si="22"/>
        <v>61.086700246490189</v>
      </c>
      <c r="J46" s="18">
        <f t="shared" si="23"/>
        <v>7.7760497667185069E-2</v>
      </c>
      <c r="K46" s="18">
        <f t="shared" si="24"/>
        <v>0</v>
      </c>
      <c r="L46" s="18">
        <f t="shared" si="25"/>
        <v>0</v>
      </c>
      <c r="M46" s="18">
        <f t="shared" si="26"/>
        <v>67.730496453900713</v>
      </c>
      <c r="N46" s="18">
        <f t="shared" si="27"/>
        <v>0</v>
      </c>
      <c r="O46" s="18">
        <f t="shared" si="28"/>
        <v>0</v>
      </c>
      <c r="P46" s="18">
        <f t="shared" si="29"/>
        <v>0</v>
      </c>
    </row>
    <row r="47" spans="1:17" ht="15" x14ac:dyDescent="0.25">
      <c r="A47" s="16" t="s">
        <v>53</v>
      </c>
      <c r="B47" s="22"/>
      <c r="C47" s="19">
        <f t="shared" si="17"/>
        <v>15.997084842442675</v>
      </c>
      <c r="D47" s="18">
        <f t="shared" si="18"/>
        <v>0</v>
      </c>
      <c r="E47" s="18">
        <f t="shared" si="19"/>
        <v>0</v>
      </c>
      <c r="F47" s="18">
        <f t="shared" si="20"/>
        <v>5.8571763602251403</v>
      </c>
      <c r="G47" s="18">
        <f t="shared" si="21"/>
        <v>94.055807916937056</v>
      </c>
      <c r="H47" s="18">
        <f t="shared" si="30"/>
        <v>0</v>
      </c>
      <c r="I47" s="18">
        <f t="shared" si="22"/>
        <v>10.561568963669488</v>
      </c>
      <c r="J47" s="18">
        <f t="shared" si="23"/>
        <v>0.50037189803232129</v>
      </c>
      <c r="K47" s="18">
        <f t="shared" si="24"/>
        <v>0.1020948347576193</v>
      </c>
      <c r="L47" s="18">
        <f t="shared" si="25"/>
        <v>0</v>
      </c>
      <c r="M47" s="18">
        <f t="shared" si="26"/>
        <v>10.874704491725769</v>
      </c>
      <c r="N47" s="18">
        <f t="shared" si="27"/>
        <v>1.7789072426937738</v>
      </c>
      <c r="O47" s="18">
        <f t="shared" si="28"/>
        <v>0.24232633279483037</v>
      </c>
      <c r="P47" s="18">
        <f t="shared" si="29"/>
        <v>0</v>
      </c>
    </row>
    <row r="48" spans="1:17" ht="15" x14ac:dyDescent="0.25">
      <c r="A48" s="16" t="s">
        <v>0</v>
      </c>
      <c r="B48" s="22"/>
      <c r="C48" s="19">
        <f t="shared" si="17"/>
        <v>3.9054908443861134</v>
      </c>
      <c r="D48" s="18">
        <f t="shared" si="18"/>
        <v>0</v>
      </c>
      <c r="E48" s="18">
        <f t="shared" si="19"/>
        <v>0</v>
      </c>
      <c r="F48" s="18">
        <f t="shared" si="20"/>
        <v>0</v>
      </c>
      <c r="G48" s="18">
        <f t="shared" si="21"/>
        <v>5.8100800346095616</v>
      </c>
      <c r="H48" s="18">
        <f t="shared" si="30"/>
        <v>0</v>
      </c>
      <c r="I48" s="18">
        <f t="shared" si="22"/>
        <v>1.1467152502411317</v>
      </c>
      <c r="J48" s="18">
        <f t="shared" si="23"/>
        <v>0.15214010413144907</v>
      </c>
      <c r="K48" s="18">
        <f t="shared" si="24"/>
        <v>32.897224533010657</v>
      </c>
      <c r="L48" s="18">
        <f t="shared" si="25"/>
        <v>6.556204553582072E-2</v>
      </c>
      <c r="M48" s="18">
        <f t="shared" si="26"/>
        <v>1.1820330969267139</v>
      </c>
      <c r="N48" s="18">
        <f t="shared" si="27"/>
        <v>0</v>
      </c>
      <c r="O48" s="18">
        <f t="shared" si="28"/>
        <v>39.095315024232633</v>
      </c>
      <c r="P48" s="18">
        <f t="shared" si="29"/>
        <v>0.19203072491598655</v>
      </c>
    </row>
    <row r="49" spans="1:16" ht="15" x14ac:dyDescent="0.25">
      <c r="A49" s="16" t="s">
        <v>54</v>
      </c>
      <c r="B49" s="22"/>
      <c r="C49" s="19">
        <f t="shared" si="17"/>
        <v>10.934049292664151</v>
      </c>
      <c r="D49" s="18">
        <f t="shared" si="18"/>
        <v>0</v>
      </c>
      <c r="E49" s="18">
        <f t="shared" si="19"/>
        <v>0</v>
      </c>
      <c r="F49" s="18">
        <f t="shared" si="20"/>
        <v>0.52571919949968726</v>
      </c>
      <c r="G49" s="18">
        <f t="shared" si="21"/>
        <v>9.517629245078954E-2</v>
      </c>
      <c r="H49" s="18">
        <f t="shared" si="30"/>
        <v>0</v>
      </c>
      <c r="I49" s="18">
        <f t="shared" si="22"/>
        <v>24.900868074161398</v>
      </c>
      <c r="J49" s="18">
        <f t="shared" si="23"/>
        <v>77.855162620866864</v>
      </c>
      <c r="K49" s="18">
        <f t="shared" si="24"/>
        <v>7.2752022990244276</v>
      </c>
      <c r="L49" s="18">
        <f t="shared" si="25"/>
        <v>0.15496483490284899</v>
      </c>
      <c r="M49" s="18">
        <f t="shared" si="26"/>
        <v>4.6099290780141837</v>
      </c>
      <c r="N49" s="18">
        <f t="shared" si="27"/>
        <v>0.38119440914866581</v>
      </c>
      <c r="O49" s="18">
        <f t="shared" si="28"/>
        <v>0.24232633279483037</v>
      </c>
      <c r="P49" s="18">
        <f t="shared" si="29"/>
        <v>4.8007681228996638E-2</v>
      </c>
    </row>
    <row r="50" spans="1:16" ht="15" x14ac:dyDescent="0.25">
      <c r="A50" s="16" t="s">
        <v>8</v>
      </c>
      <c r="B50" s="22"/>
      <c r="C50" s="19">
        <f t="shared" si="17"/>
        <v>5.9921631478653721</v>
      </c>
      <c r="D50" s="18">
        <f t="shared" si="18"/>
        <v>0</v>
      </c>
      <c r="E50" s="18">
        <f t="shared" si="19"/>
        <v>0</v>
      </c>
      <c r="F50" s="18">
        <f t="shared" si="20"/>
        <v>7.0356472795497185E-2</v>
      </c>
      <c r="G50" s="18">
        <f t="shared" si="21"/>
        <v>8.6523902227990477E-3</v>
      </c>
      <c r="H50" s="18">
        <f t="shared" si="30"/>
        <v>0</v>
      </c>
      <c r="I50" s="18">
        <f t="shared" si="22"/>
        <v>1.7173936341228164</v>
      </c>
      <c r="J50" s="18">
        <f t="shared" si="23"/>
        <v>21.309757252011629</v>
      </c>
      <c r="K50" s="18">
        <f t="shared" si="24"/>
        <v>44.657036981017924</v>
      </c>
      <c r="L50" s="18">
        <f t="shared" si="25"/>
        <v>0.35761115746811301</v>
      </c>
      <c r="M50" s="18">
        <f t="shared" si="26"/>
        <v>1.0638297872340425</v>
      </c>
      <c r="N50" s="18">
        <f t="shared" si="27"/>
        <v>0.25412960609911056</v>
      </c>
      <c r="O50" s="18">
        <f t="shared" si="28"/>
        <v>5.1696284329563813</v>
      </c>
      <c r="P50" s="18">
        <f t="shared" si="29"/>
        <v>0.19203072491598655</v>
      </c>
    </row>
    <row r="51" spans="1:16" ht="15" x14ac:dyDescent="0.25">
      <c r="A51" s="16" t="s">
        <v>55</v>
      </c>
      <c r="B51" s="22"/>
      <c r="C51" s="19">
        <f t="shared" si="17"/>
        <v>9.1209096301157224</v>
      </c>
      <c r="D51" s="18">
        <f t="shared" si="18"/>
        <v>0</v>
      </c>
      <c r="E51" s="18">
        <f t="shared" si="19"/>
        <v>0</v>
      </c>
      <c r="F51" s="18">
        <f t="shared" si="20"/>
        <v>1.368042526579112E-2</v>
      </c>
      <c r="G51" s="18">
        <f t="shared" si="21"/>
        <v>1.0815487778498811E-2</v>
      </c>
      <c r="H51" s="18">
        <f t="shared" si="30"/>
        <v>0</v>
      </c>
      <c r="I51" s="18">
        <f t="shared" si="22"/>
        <v>0.25720715893259027</v>
      </c>
      <c r="J51" s="18">
        <f t="shared" si="23"/>
        <v>2.7047129623368721E-2</v>
      </c>
      <c r="K51" s="18">
        <f t="shared" si="24"/>
        <v>10.273765408757468</v>
      </c>
      <c r="L51" s="18">
        <f t="shared" si="25"/>
        <v>77.655262844200735</v>
      </c>
      <c r="M51" s="18">
        <f t="shared" si="26"/>
        <v>0</v>
      </c>
      <c r="N51" s="18">
        <f t="shared" si="27"/>
        <v>0</v>
      </c>
      <c r="O51" s="18">
        <f t="shared" si="28"/>
        <v>1.2116316639741518</v>
      </c>
      <c r="P51" s="18">
        <f t="shared" si="29"/>
        <v>0.19203072491598655</v>
      </c>
    </row>
    <row r="52" spans="1:16" ht="15" x14ac:dyDescent="0.25">
      <c r="A52" s="16" t="s">
        <v>9</v>
      </c>
      <c r="B52" s="22"/>
      <c r="C52" s="19">
        <f t="shared" si="17"/>
        <v>2.7066165242740503</v>
      </c>
      <c r="D52" s="18">
        <f t="shared" si="18"/>
        <v>0</v>
      </c>
      <c r="E52" s="18">
        <f t="shared" si="19"/>
        <v>0</v>
      </c>
      <c r="F52" s="18">
        <f t="shared" si="20"/>
        <v>1.9543464665415884E-3</v>
      </c>
      <c r="G52" s="18">
        <f t="shared" si="21"/>
        <v>2.1630975556997619E-3</v>
      </c>
      <c r="H52" s="18">
        <f t="shared" si="30"/>
        <v>0</v>
      </c>
      <c r="I52" s="18">
        <f t="shared" si="22"/>
        <v>0.24381095273818457</v>
      </c>
      <c r="J52" s="18">
        <f t="shared" si="23"/>
        <v>5.0713368043816348E-2</v>
      </c>
      <c r="K52" s="18">
        <f t="shared" si="24"/>
        <v>4.2955456401724268</v>
      </c>
      <c r="L52" s="18">
        <f t="shared" si="25"/>
        <v>21.739778281082369</v>
      </c>
      <c r="M52" s="18">
        <f t="shared" si="26"/>
        <v>0</v>
      </c>
      <c r="N52" s="18">
        <f t="shared" si="27"/>
        <v>0</v>
      </c>
      <c r="O52" s="18">
        <f t="shared" si="28"/>
        <v>2.9886914378029079</v>
      </c>
      <c r="P52" s="18">
        <f t="shared" si="29"/>
        <v>0.14402304368698993</v>
      </c>
    </row>
    <row r="53" spans="1:16" ht="15" x14ac:dyDescent="0.25">
      <c r="A53" s="16" t="s">
        <v>56</v>
      </c>
      <c r="B53" s="22"/>
      <c r="C53" s="19">
        <f t="shared" si="17"/>
        <v>0.27511010714150502</v>
      </c>
      <c r="D53" s="18">
        <f t="shared" si="18"/>
        <v>0</v>
      </c>
      <c r="E53" s="18">
        <f t="shared" si="19"/>
        <v>0</v>
      </c>
      <c r="F53" s="18">
        <f t="shared" si="20"/>
        <v>3.5178236397748593E-2</v>
      </c>
      <c r="G53" s="18">
        <f t="shared" si="21"/>
        <v>0</v>
      </c>
      <c r="H53" s="18">
        <f t="shared" si="30"/>
        <v>0</v>
      </c>
      <c r="I53" s="18">
        <f t="shared" si="22"/>
        <v>4.2867859822098384E-2</v>
      </c>
      <c r="J53" s="18">
        <f t="shared" si="23"/>
        <v>6.7617824058421802E-3</v>
      </c>
      <c r="K53" s="18">
        <f t="shared" si="24"/>
        <v>1.512516070483249E-2</v>
      </c>
      <c r="L53" s="18">
        <f t="shared" si="25"/>
        <v>0</v>
      </c>
      <c r="M53" s="18">
        <f t="shared" si="26"/>
        <v>13.238770685579196</v>
      </c>
      <c r="N53" s="18">
        <f t="shared" si="27"/>
        <v>86.658195679796705</v>
      </c>
      <c r="O53" s="18">
        <f t="shared" si="28"/>
        <v>2.9886914378029079</v>
      </c>
      <c r="P53" s="18">
        <f t="shared" si="29"/>
        <v>4.8007681228996638E-2</v>
      </c>
    </row>
    <row r="54" spans="1:16" ht="15" x14ac:dyDescent="0.25">
      <c r="A54" s="16" t="s">
        <v>10</v>
      </c>
      <c r="B54" s="22"/>
      <c r="C54" s="19">
        <f t="shared" si="17"/>
        <v>0.15711563458310723</v>
      </c>
      <c r="D54" s="18">
        <f t="shared" si="18"/>
        <v>0</v>
      </c>
      <c r="E54" s="18">
        <f t="shared" si="19"/>
        <v>0</v>
      </c>
      <c r="F54" s="18">
        <f t="shared" si="20"/>
        <v>3.9086929330831768E-3</v>
      </c>
      <c r="G54" s="18">
        <f t="shared" si="21"/>
        <v>1.0815487778498811E-2</v>
      </c>
      <c r="H54" s="18">
        <f t="shared" si="30"/>
        <v>0</v>
      </c>
      <c r="I54" s="18">
        <f t="shared" si="22"/>
        <v>2.9471653627692638E-2</v>
      </c>
      <c r="J54" s="18">
        <f t="shared" si="23"/>
        <v>1.352356481168436E-2</v>
      </c>
      <c r="K54" s="18">
        <f t="shared" si="24"/>
        <v>0.1701580579293655</v>
      </c>
      <c r="L54" s="18">
        <f t="shared" si="25"/>
        <v>2.9800929789009414E-3</v>
      </c>
      <c r="M54" s="18">
        <f t="shared" si="26"/>
        <v>1.0638297872340425</v>
      </c>
      <c r="N54" s="18">
        <f t="shared" si="27"/>
        <v>10.800508259212197</v>
      </c>
      <c r="O54" s="18">
        <f t="shared" si="28"/>
        <v>26.332794830371569</v>
      </c>
      <c r="P54" s="18">
        <f t="shared" si="29"/>
        <v>0.4800768122899664</v>
      </c>
    </row>
    <row r="55" spans="1:16" ht="15" x14ac:dyDescent="0.25">
      <c r="A55" s="16" t="s">
        <v>57</v>
      </c>
      <c r="B55" s="22"/>
      <c r="C55" s="19">
        <f t="shared" si="17"/>
        <v>0.48175818073976856</v>
      </c>
      <c r="D55" s="18">
        <f t="shared" si="18"/>
        <v>0</v>
      </c>
      <c r="E55" s="18">
        <f t="shared" si="19"/>
        <v>0</v>
      </c>
      <c r="F55" s="18">
        <f t="shared" si="20"/>
        <v>0</v>
      </c>
      <c r="G55" s="18">
        <f t="shared" si="21"/>
        <v>6.4892926670992862E-3</v>
      </c>
      <c r="H55" s="18">
        <f t="shared" si="30"/>
        <v>0</v>
      </c>
      <c r="I55" s="18">
        <f t="shared" si="22"/>
        <v>5.358482477762298E-3</v>
      </c>
      <c r="J55" s="18">
        <f t="shared" si="23"/>
        <v>0</v>
      </c>
      <c r="K55" s="18">
        <f t="shared" si="24"/>
        <v>0.16259547757694925</v>
      </c>
      <c r="L55" s="18">
        <f t="shared" si="25"/>
        <v>1.1920371915603765E-2</v>
      </c>
      <c r="M55" s="18">
        <f t="shared" si="26"/>
        <v>0</v>
      </c>
      <c r="N55" s="18">
        <f t="shared" si="27"/>
        <v>0.12706480304955528</v>
      </c>
      <c r="O55" s="18">
        <f t="shared" si="28"/>
        <v>15.347334410339256</v>
      </c>
      <c r="P55" s="18">
        <f t="shared" si="29"/>
        <v>61.64186269803168</v>
      </c>
    </row>
    <row r="56" spans="1:16" ht="15" x14ac:dyDescent="0.25">
      <c r="A56" s="16" t="s">
        <v>11</v>
      </c>
      <c r="B56" s="22"/>
      <c r="C56" s="19">
        <f t="shared" si="17"/>
        <v>0.28457490440554761</v>
      </c>
      <c r="D56" s="18">
        <f t="shared" si="18"/>
        <v>0</v>
      </c>
      <c r="E56" s="18">
        <f t="shared" si="19"/>
        <v>0</v>
      </c>
      <c r="F56" s="18">
        <f t="shared" si="20"/>
        <v>0</v>
      </c>
      <c r="G56" s="18">
        <f t="shared" si="21"/>
        <v>0</v>
      </c>
      <c r="H56" s="18">
        <f t="shared" si="30"/>
        <v>0</v>
      </c>
      <c r="I56" s="18">
        <f t="shared" si="22"/>
        <v>8.0377237166434461E-3</v>
      </c>
      <c r="J56" s="18">
        <f t="shared" si="23"/>
        <v>6.7617824058421802E-3</v>
      </c>
      <c r="K56" s="18">
        <f t="shared" si="24"/>
        <v>0.15125160704832488</v>
      </c>
      <c r="L56" s="18">
        <f t="shared" si="25"/>
        <v>1.1920371915603765E-2</v>
      </c>
      <c r="M56" s="18">
        <f t="shared" si="26"/>
        <v>0.2364066193853428</v>
      </c>
      <c r="N56" s="18">
        <f t="shared" si="27"/>
        <v>0</v>
      </c>
      <c r="O56" s="18">
        <f t="shared" si="28"/>
        <v>6.3812600969305331</v>
      </c>
      <c r="P56" s="18">
        <f t="shared" si="29"/>
        <v>37.061929908785409</v>
      </c>
    </row>
    <row r="57" spans="1:16" ht="15.75" thickBot="1" x14ac:dyDescent="0.3">
      <c r="A57" s="25" t="s">
        <v>13</v>
      </c>
      <c r="B57" s="26"/>
      <c r="C57" s="27">
        <f>C18/C18*100</f>
        <v>100</v>
      </c>
      <c r="D57" s="27">
        <f t="shared" si="18"/>
        <v>100</v>
      </c>
      <c r="E57" s="27">
        <f t="shared" si="19"/>
        <v>100</v>
      </c>
      <c r="F57" s="27">
        <f t="shared" si="20"/>
        <v>100</v>
      </c>
      <c r="G57" s="27">
        <f t="shared" si="21"/>
        <v>100</v>
      </c>
      <c r="H57" s="27">
        <f>H18/$H$18*100</f>
        <v>100</v>
      </c>
      <c r="I57" s="27">
        <f t="shared" si="22"/>
        <v>100</v>
      </c>
      <c r="J57" s="27">
        <f t="shared" si="23"/>
        <v>100</v>
      </c>
      <c r="K57" s="27">
        <f t="shared" si="24"/>
        <v>100</v>
      </c>
      <c r="L57" s="27">
        <f t="shared" si="25"/>
        <v>100</v>
      </c>
      <c r="M57" s="27">
        <f t="shared" si="26"/>
        <v>100</v>
      </c>
      <c r="N57" s="27">
        <f t="shared" si="27"/>
        <v>100</v>
      </c>
      <c r="O57" s="27">
        <f t="shared" si="28"/>
        <v>100</v>
      </c>
      <c r="P57" s="27">
        <f t="shared" si="29"/>
        <v>100</v>
      </c>
    </row>
    <row r="58" spans="1:16" x14ac:dyDescent="0.2">
      <c r="A58" s="7" t="s">
        <v>47</v>
      </c>
      <c r="B58" s="7"/>
    </row>
    <row r="59" spans="1:16" x14ac:dyDescent="0.2">
      <c r="A59" s="7"/>
      <c r="B59" s="7"/>
    </row>
    <row r="60" spans="1:16" x14ac:dyDescent="0.2">
      <c r="A60" s="7"/>
      <c r="B60" s="7"/>
    </row>
    <row r="61" spans="1:16" x14ac:dyDescent="0.2">
      <c r="A61" s="7"/>
      <c r="B61" s="7"/>
    </row>
    <row r="62" spans="1:16" x14ac:dyDescent="0.2">
      <c r="A62" s="7"/>
      <c r="B62" s="7"/>
    </row>
    <row r="63" spans="1:16" x14ac:dyDescent="0.2">
      <c r="A63" s="7"/>
      <c r="B63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748F-BC6A-4720-AEAD-A0E0C5CDBDE3}">
  <dimension ref="A1:Q63"/>
  <sheetViews>
    <sheetView tabSelected="1" workbookViewId="0">
      <selection activeCell="B4" sqref="B4"/>
    </sheetView>
  </sheetViews>
  <sheetFormatPr defaultColWidth="9.140625" defaultRowHeight="14.25" x14ac:dyDescent="0.2"/>
  <cols>
    <col min="1" max="1" width="11.42578125" style="2" customWidth="1"/>
    <col min="2" max="16" width="12.140625" style="2" customWidth="1"/>
    <col min="17" max="17" width="12.5703125" style="2" customWidth="1"/>
    <col min="18" max="16384" width="9.140625" style="2"/>
  </cols>
  <sheetData>
    <row r="1" spans="1:16" ht="36.75" customHeight="1" x14ac:dyDescent="0.2"/>
    <row r="2" spans="1:16" ht="28.5" customHeight="1" x14ac:dyDescent="0.25">
      <c r="A2" s="65" t="s">
        <v>44</v>
      </c>
      <c r="B2" s="60" t="s">
        <v>83</v>
      </c>
      <c r="C2" s="3"/>
      <c r="D2" s="3"/>
      <c r="E2" s="3"/>
    </row>
    <row r="3" spans="1:16" ht="16.5" customHeight="1" thickBot="1" x14ac:dyDescent="0.55000000000000004">
      <c r="A3" s="52"/>
      <c r="B3" s="10" t="s">
        <v>84</v>
      </c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17"/>
      <c r="P3" s="6" t="s">
        <v>2</v>
      </c>
    </row>
    <row r="4" spans="1:16" ht="32.25" customHeight="1" x14ac:dyDescent="0.2">
      <c r="A4" s="74" t="s">
        <v>64</v>
      </c>
      <c r="B4" s="58"/>
      <c r="C4" s="68"/>
      <c r="D4" s="68"/>
      <c r="E4" s="68"/>
      <c r="F4" s="68"/>
      <c r="G4" s="68"/>
      <c r="H4" s="63" t="s">
        <v>87</v>
      </c>
      <c r="I4" s="68"/>
      <c r="J4" s="68"/>
      <c r="K4" s="68"/>
      <c r="L4" s="68"/>
      <c r="M4" s="68"/>
      <c r="N4" s="68"/>
      <c r="O4" s="68"/>
      <c r="P4" s="68"/>
    </row>
    <row r="5" spans="1:16" ht="43.5" customHeight="1" x14ac:dyDescent="0.2">
      <c r="A5" s="72" t="s">
        <v>85</v>
      </c>
      <c r="B5" s="54"/>
      <c r="C5" s="45" t="s">
        <v>25</v>
      </c>
      <c r="D5" s="24" t="s">
        <v>51</v>
      </c>
      <c r="E5" s="24" t="s">
        <v>52</v>
      </c>
      <c r="F5" s="24" t="s">
        <v>53</v>
      </c>
      <c r="G5" s="24" t="s">
        <v>0</v>
      </c>
      <c r="H5" s="24" t="s">
        <v>61</v>
      </c>
      <c r="I5" s="24" t="s">
        <v>54</v>
      </c>
      <c r="J5" s="24" t="s">
        <v>8</v>
      </c>
      <c r="K5" s="24" t="s">
        <v>55</v>
      </c>
      <c r="L5" s="24" t="s">
        <v>9</v>
      </c>
      <c r="M5" s="24" t="s">
        <v>56</v>
      </c>
      <c r="N5" s="24" t="s">
        <v>10</v>
      </c>
      <c r="O5" s="24" t="s">
        <v>57</v>
      </c>
      <c r="P5" s="24" t="s">
        <v>11</v>
      </c>
    </row>
    <row r="6" spans="1:16" ht="14.25" customHeight="1" x14ac:dyDescent="0.2">
      <c r="A6" s="16" t="s">
        <v>51</v>
      </c>
      <c r="B6" s="48">
        <v>87773</v>
      </c>
      <c r="C6" s="49">
        <v>84095</v>
      </c>
      <c r="D6" s="50">
        <v>2428</v>
      </c>
      <c r="E6" s="50">
        <v>81134</v>
      </c>
      <c r="F6" s="50"/>
      <c r="G6" s="51"/>
      <c r="H6" s="51">
        <v>504</v>
      </c>
      <c r="I6" s="50">
        <v>29</v>
      </c>
      <c r="J6" s="51"/>
      <c r="K6" s="51"/>
      <c r="L6" s="51"/>
      <c r="M6" s="50"/>
      <c r="N6" s="51"/>
      <c r="O6" s="51"/>
      <c r="P6" s="51"/>
    </row>
    <row r="7" spans="1:16" x14ac:dyDescent="0.2">
      <c r="A7" s="16" t="s">
        <v>52</v>
      </c>
      <c r="B7" s="48">
        <v>88710</v>
      </c>
      <c r="C7" s="49">
        <v>76281</v>
      </c>
      <c r="D7" s="50"/>
      <c r="E7" s="50">
        <v>3404</v>
      </c>
      <c r="F7" s="50">
        <v>49372</v>
      </c>
      <c r="G7" s="50"/>
      <c r="H7" s="50">
        <v>28</v>
      </c>
      <c r="I7" s="50">
        <v>22933</v>
      </c>
      <c r="J7" s="50">
        <v>17</v>
      </c>
      <c r="K7" s="50"/>
      <c r="L7" s="51"/>
      <c r="M7" s="50">
        <v>527</v>
      </c>
      <c r="N7" s="51"/>
      <c r="O7" s="51"/>
      <c r="P7" s="51"/>
    </row>
    <row r="8" spans="1:16" x14ac:dyDescent="0.2">
      <c r="A8" s="16" t="s">
        <v>53</v>
      </c>
      <c r="B8" s="48">
        <v>53063</v>
      </c>
      <c r="C8" s="49">
        <v>50952</v>
      </c>
      <c r="D8" s="51"/>
      <c r="E8" s="51"/>
      <c r="F8" s="50">
        <v>2901</v>
      </c>
      <c r="G8" s="50">
        <v>44037</v>
      </c>
      <c r="H8" s="50"/>
      <c r="I8" s="50">
        <v>3677</v>
      </c>
      <c r="J8" s="50">
        <v>194</v>
      </c>
      <c r="K8" s="50">
        <v>29</v>
      </c>
      <c r="L8" s="51"/>
      <c r="M8" s="50">
        <v>99</v>
      </c>
      <c r="N8" s="50">
        <v>11</v>
      </c>
      <c r="O8" s="50">
        <v>4</v>
      </c>
      <c r="P8" s="51"/>
    </row>
    <row r="9" spans="1:16" x14ac:dyDescent="0.2">
      <c r="A9" s="16" t="s">
        <v>0</v>
      </c>
      <c r="B9" s="48">
        <v>47247</v>
      </c>
      <c r="C9" s="49">
        <v>12287</v>
      </c>
      <c r="D9" s="51"/>
      <c r="E9" s="51"/>
      <c r="F9" s="50"/>
      <c r="G9" s="50">
        <v>2656</v>
      </c>
      <c r="H9" s="50"/>
      <c r="I9" s="50">
        <v>481</v>
      </c>
      <c r="J9" s="50">
        <v>60</v>
      </c>
      <c r="K9" s="50">
        <v>8622</v>
      </c>
      <c r="L9" s="50"/>
      <c r="M9" s="50">
        <v>16</v>
      </c>
      <c r="N9" s="50"/>
      <c r="O9" s="50">
        <v>452</v>
      </c>
      <c r="P9" s="51"/>
    </row>
    <row r="10" spans="1:16" x14ac:dyDescent="0.2">
      <c r="A10" s="16" t="s">
        <v>54</v>
      </c>
      <c r="B10" s="48">
        <v>46837</v>
      </c>
      <c r="C10" s="49">
        <v>37164</v>
      </c>
      <c r="D10" s="51"/>
      <c r="E10" s="51"/>
      <c r="F10" s="50">
        <v>221</v>
      </c>
      <c r="G10" s="50">
        <v>61</v>
      </c>
      <c r="H10" s="50"/>
      <c r="I10" s="50">
        <v>9591</v>
      </c>
      <c r="J10" s="50">
        <v>24881</v>
      </c>
      <c r="K10" s="50">
        <v>2324</v>
      </c>
      <c r="L10" s="50">
        <v>42</v>
      </c>
      <c r="M10" s="50">
        <v>35</v>
      </c>
      <c r="N10" s="50">
        <v>3</v>
      </c>
      <c r="O10" s="50">
        <v>5</v>
      </c>
      <c r="P10" s="51">
        <v>1</v>
      </c>
    </row>
    <row r="11" spans="1:16" x14ac:dyDescent="0.2">
      <c r="A11" s="16" t="s">
        <v>8</v>
      </c>
      <c r="B11" s="48">
        <v>30178</v>
      </c>
      <c r="C11" s="49">
        <v>19879</v>
      </c>
      <c r="D11" s="51"/>
      <c r="E11" s="51"/>
      <c r="F11" s="50">
        <v>37</v>
      </c>
      <c r="G11" s="50">
        <v>6</v>
      </c>
      <c r="H11" s="50"/>
      <c r="I11" s="50">
        <v>606</v>
      </c>
      <c r="J11" s="50">
        <v>6492</v>
      </c>
      <c r="K11" s="50">
        <v>12545</v>
      </c>
      <c r="L11" s="50">
        <v>114</v>
      </c>
      <c r="M11" s="50">
        <v>12</v>
      </c>
      <c r="N11" s="51"/>
      <c r="O11" s="50">
        <v>67</v>
      </c>
      <c r="P11" s="50"/>
    </row>
    <row r="12" spans="1:16" x14ac:dyDescent="0.2">
      <c r="A12" s="16" t="s">
        <v>55</v>
      </c>
      <c r="B12" s="48">
        <v>37598</v>
      </c>
      <c r="C12" s="49">
        <v>32184</v>
      </c>
      <c r="D12" s="51"/>
      <c r="E12" s="51"/>
      <c r="F12" s="50">
        <v>2</v>
      </c>
      <c r="G12" s="50">
        <v>1</v>
      </c>
      <c r="H12" s="50"/>
      <c r="I12" s="50">
        <v>101</v>
      </c>
      <c r="J12" s="50">
        <v>18</v>
      </c>
      <c r="K12" s="50">
        <v>2620</v>
      </c>
      <c r="L12" s="50">
        <v>29416</v>
      </c>
      <c r="M12" s="51">
        <v>1</v>
      </c>
      <c r="N12" s="51"/>
      <c r="O12" s="50">
        <v>24</v>
      </c>
      <c r="P12" s="50">
        <v>1</v>
      </c>
    </row>
    <row r="13" spans="1:16" x14ac:dyDescent="0.2">
      <c r="A13" s="16" t="s">
        <v>9</v>
      </c>
      <c r="B13" s="48">
        <v>34909</v>
      </c>
      <c r="C13" s="49">
        <v>8393</v>
      </c>
      <c r="D13" s="51"/>
      <c r="E13" s="51"/>
      <c r="F13" s="50">
        <v>2</v>
      </c>
      <c r="G13" s="51"/>
      <c r="H13" s="51"/>
      <c r="I13" s="50">
        <v>107</v>
      </c>
      <c r="J13" s="50">
        <v>10</v>
      </c>
      <c r="K13" s="50">
        <v>914</v>
      </c>
      <c r="L13" s="50">
        <v>7329</v>
      </c>
      <c r="M13" s="51">
        <v>1</v>
      </c>
      <c r="N13" s="50"/>
      <c r="O13" s="50">
        <v>30</v>
      </c>
      <c r="P13" s="50"/>
    </row>
    <row r="14" spans="1:16" x14ac:dyDescent="0.2">
      <c r="A14" s="16" t="s">
        <v>56</v>
      </c>
      <c r="B14" s="48">
        <v>989</v>
      </c>
      <c r="C14" s="49">
        <v>815</v>
      </c>
      <c r="D14" s="51"/>
      <c r="E14" s="51"/>
      <c r="F14" s="50">
        <v>14</v>
      </c>
      <c r="G14" s="50">
        <v>1</v>
      </c>
      <c r="H14" s="50"/>
      <c r="I14" s="50">
        <v>28</v>
      </c>
      <c r="J14" s="50">
        <v>2</v>
      </c>
      <c r="K14" s="51">
        <v>9</v>
      </c>
      <c r="L14" s="51"/>
      <c r="M14" s="50">
        <v>104</v>
      </c>
      <c r="N14" s="50">
        <v>610</v>
      </c>
      <c r="O14" s="50">
        <v>46</v>
      </c>
      <c r="P14" s="50">
        <v>1</v>
      </c>
    </row>
    <row r="15" spans="1:16" x14ac:dyDescent="0.2">
      <c r="A15" s="16" t="s">
        <v>10</v>
      </c>
      <c r="B15" s="48">
        <v>779</v>
      </c>
      <c r="C15" s="49">
        <v>578</v>
      </c>
      <c r="D15" s="51"/>
      <c r="E15" s="51"/>
      <c r="F15" s="50">
        <v>2</v>
      </c>
      <c r="G15" s="50">
        <v>6</v>
      </c>
      <c r="H15" s="50"/>
      <c r="I15" s="50">
        <v>10</v>
      </c>
      <c r="J15" s="51"/>
      <c r="K15" s="50">
        <v>72</v>
      </c>
      <c r="L15" s="50"/>
      <c r="M15" s="50">
        <v>3</v>
      </c>
      <c r="N15" s="50">
        <v>119</v>
      </c>
      <c r="O15" s="50">
        <v>364</v>
      </c>
      <c r="P15" s="50">
        <v>2</v>
      </c>
    </row>
    <row r="16" spans="1:16" x14ac:dyDescent="0.2">
      <c r="A16" s="16" t="s">
        <v>57</v>
      </c>
      <c r="B16" s="48">
        <v>1776</v>
      </c>
      <c r="C16" s="49">
        <v>1490</v>
      </c>
      <c r="D16" s="51"/>
      <c r="E16" s="51"/>
      <c r="F16" s="51"/>
      <c r="G16" s="51"/>
      <c r="H16" s="51"/>
      <c r="I16" s="50">
        <v>5</v>
      </c>
      <c r="J16" s="51">
        <v>1</v>
      </c>
      <c r="K16" s="50">
        <v>43</v>
      </c>
      <c r="L16" s="50">
        <v>1</v>
      </c>
      <c r="M16" s="51">
        <v>2</v>
      </c>
      <c r="N16" s="50">
        <v>3</v>
      </c>
      <c r="O16" s="50">
        <v>165</v>
      </c>
      <c r="P16" s="50">
        <v>1270</v>
      </c>
    </row>
    <row r="17" spans="1:16" x14ac:dyDescent="0.2">
      <c r="A17" s="16" t="s">
        <v>11</v>
      </c>
      <c r="B17" s="48">
        <v>2160</v>
      </c>
      <c r="C17" s="49">
        <v>928</v>
      </c>
      <c r="D17" s="51"/>
      <c r="E17" s="51"/>
      <c r="F17" s="51"/>
      <c r="G17" s="51"/>
      <c r="H17" s="51"/>
      <c r="I17" s="50">
        <v>2</v>
      </c>
      <c r="J17" s="50"/>
      <c r="K17" s="50">
        <v>43</v>
      </c>
      <c r="L17" s="50">
        <v>10</v>
      </c>
      <c r="M17" s="50">
        <v>2</v>
      </c>
      <c r="N17" s="50">
        <v>1</v>
      </c>
      <c r="O17" s="50">
        <v>75</v>
      </c>
      <c r="P17" s="50">
        <v>795</v>
      </c>
    </row>
    <row r="18" spans="1:16" ht="15" thickBot="1" x14ac:dyDescent="0.25">
      <c r="A18" s="25" t="s">
        <v>25</v>
      </c>
      <c r="B18" s="30">
        <v>432019</v>
      </c>
      <c r="C18" s="30">
        <v>325046</v>
      </c>
      <c r="D18" s="30">
        <v>2428</v>
      </c>
      <c r="E18" s="30">
        <v>84538</v>
      </c>
      <c r="F18" s="30">
        <v>52551</v>
      </c>
      <c r="G18" s="30">
        <v>46768</v>
      </c>
      <c r="H18" s="30">
        <v>532</v>
      </c>
      <c r="I18" s="30">
        <v>37570</v>
      </c>
      <c r="J18" s="30">
        <v>31675</v>
      </c>
      <c r="K18" s="30">
        <v>27221</v>
      </c>
      <c r="L18" s="30">
        <v>36912</v>
      </c>
      <c r="M18" s="30">
        <v>802</v>
      </c>
      <c r="N18" s="30">
        <v>747</v>
      </c>
      <c r="O18" s="30">
        <v>1232</v>
      </c>
      <c r="P18" s="30">
        <v>2070</v>
      </c>
    </row>
    <row r="19" spans="1:16" x14ac:dyDescent="0.2">
      <c r="A19" s="7" t="s">
        <v>47</v>
      </c>
      <c r="B19" s="7"/>
    </row>
    <row r="20" spans="1:16" x14ac:dyDescent="0.2">
      <c r="A20" s="11"/>
    </row>
    <row r="21" spans="1:16" ht="10.5" customHeight="1" x14ac:dyDescent="0.2">
      <c r="A21" s="11"/>
    </row>
    <row r="22" spans="1:16" ht="33" customHeight="1" x14ac:dyDescent="0.25">
      <c r="A22" s="65" t="s">
        <v>45</v>
      </c>
      <c r="B22" s="60" t="s">
        <v>86</v>
      </c>
      <c r="C22" s="3"/>
      <c r="D22" s="3"/>
      <c r="E22" s="3"/>
    </row>
    <row r="23" spans="1:16" ht="16.5" customHeight="1" thickBot="1" x14ac:dyDescent="0.55000000000000004">
      <c r="A23" s="56"/>
      <c r="B23" s="10" t="s">
        <v>84</v>
      </c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17"/>
      <c r="P23" s="21" t="s">
        <v>3</v>
      </c>
    </row>
    <row r="24" spans="1:16" ht="34.5" customHeight="1" x14ac:dyDescent="0.2">
      <c r="A24" s="74" t="s">
        <v>64</v>
      </c>
      <c r="B24" s="74"/>
      <c r="C24" s="55"/>
      <c r="D24" s="55"/>
      <c r="E24" s="55"/>
      <c r="F24" s="55"/>
      <c r="G24" s="55"/>
      <c r="H24" s="63" t="s">
        <v>87</v>
      </c>
      <c r="I24" s="55"/>
      <c r="J24" s="55"/>
      <c r="K24" s="55"/>
      <c r="L24" s="55"/>
      <c r="M24" s="55"/>
      <c r="N24" s="55"/>
      <c r="O24" s="55"/>
      <c r="P24" s="55"/>
    </row>
    <row r="25" spans="1:16" ht="43.5" customHeight="1" x14ac:dyDescent="0.2">
      <c r="A25" s="72" t="s">
        <v>85</v>
      </c>
      <c r="B25" s="75"/>
      <c r="C25" s="23" t="s">
        <v>12</v>
      </c>
      <c r="D25" s="24" t="s">
        <v>51</v>
      </c>
      <c r="E25" s="24" t="s">
        <v>52</v>
      </c>
      <c r="F25" s="24" t="s">
        <v>53</v>
      </c>
      <c r="G25" s="24" t="s">
        <v>0</v>
      </c>
      <c r="H25" s="24" t="s">
        <v>61</v>
      </c>
      <c r="I25" s="24" t="s">
        <v>54</v>
      </c>
      <c r="J25" s="24" t="s">
        <v>8</v>
      </c>
      <c r="K25" s="24" t="s">
        <v>55</v>
      </c>
      <c r="L25" s="24" t="s">
        <v>9</v>
      </c>
      <c r="M25" s="24" t="s">
        <v>56</v>
      </c>
      <c r="N25" s="24" t="s">
        <v>10</v>
      </c>
      <c r="O25" s="24" t="s">
        <v>57</v>
      </c>
      <c r="P25" s="24" t="s">
        <v>11</v>
      </c>
    </row>
    <row r="26" spans="1:16" ht="14.25" customHeight="1" x14ac:dyDescent="0.2">
      <c r="A26" s="16" t="s">
        <v>51</v>
      </c>
      <c r="B26" s="12">
        <f>B6/B6*100</f>
        <v>100</v>
      </c>
      <c r="C26" s="19">
        <f t="shared" ref="C26:C38" si="0">SUM(D26:P26)</f>
        <v>95.809645335125836</v>
      </c>
      <c r="D26" s="18">
        <f>D6/$B$6*100</f>
        <v>2.7662265161268271</v>
      </c>
      <c r="E26" s="18">
        <f>E6/$B$6*100</f>
        <v>92.436170576373144</v>
      </c>
      <c r="F26" s="18">
        <f>F6/$B$6*100</f>
        <v>0</v>
      </c>
      <c r="G26" s="18">
        <f>G6/$B$6*100</f>
        <v>0</v>
      </c>
      <c r="H26" s="18">
        <f>H6/$B$6*100</f>
        <v>0.57420846957492622</v>
      </c>
      <c r="I26" s="18">
        <f>I6/$B$6*100</f>
        <v>3.3039773050938213E-2</v>
      </c>
      <c r="J26" s="18">
        <f>J6/$B$6*100</f>
        <v>0</v>
      </c>
      <c r="K26" s="18">
        <f>K6/$B$6*100</f>
        <v>0</v>
      </c>
      <c r="L26" s="18">
        <f>L6/$B$6*100</f>
        <v>0</v>
      </c>
      <c r="M26" s="18">
        <f>M6/$B$6*100</f>
        <v>0</v>
      </c>
      <c r="N26" s="18">
        <f>N6/$B$6*100</f>
        <v>0</v>
      </c>
      <c r="O26" s="18">
        <f>O6/$B$6*100</f>
        <v>0</v>
      </c>
      <c r="P26" s="18">
        <f>P6/$B$6*100</f>
        <v>0</v>
      </c>
    </row>
    <row r="27" spans="1:16" x14ac:dyDescent="0.2">
      <c r="A27" s="16" t="s">
        <v>52</v>
      </c>
      <c r="B27" s="12">
        <f>B7/B7*100</f>
        <v>100</v>
      </c>
      <c r="C27" s="19">
        <f t="shared" si="0"/>
        <v>85.989515170114842</v>
      </c>
      <c r="D27" s="18">
        <f>D7/$B$7*100</f>
        <v>0</v>
      </c>
      <c r="E27" s="18">
        <f>E7/$B$7*100</f>
        <v>3.8372224101003272</v>
      </c>
      <c r="F27" s="18">
        <f>F7/$B$7*100</f>
        <v>55.655506707248335</v>
      </c>
      <c r="G27" s="18">
        <f>G7/$B$7*100</f>
        <v>0</v>
      </c>
      <c r="H27" s="18">
        <f>H7/$B$6*100</f>
        <v>3.1900470531940346E-2</v>
      </c>
      <c r="I27" s="18">
        <f>I7/$B$7*100</f>
        <v>25.851651448540185</v>
      </c>
      <c r="J27" s="18">
        <f>J7/$B$7*100</f>
        <v>1.9163566677939354E-2</v>
      </c>
      <c r="K27" s="18">
        <f>K7/$B$7*100</f>
        <v>0</v>
      </c>
      <c r="L27" s="18">
        <f>L7/$B$7*100</f>
        <v>0</v>
      </c>
      <c r="M27" s="18">
        <f>M7/$B$7*100</f>
        <v>0.59407056701611993</v>
      </c>
      <c r="N27" s="18">
        <f>N7/$B$7*100</f>
        <v>0</v>
      </c>
      <c r="O27" s="18">
        <f>O7/$B$7*100</f>
        <v>0</v>
      </c>
      <c r="P27" s="18">
        <f>P7/$B$7*100</f>
        <v>0</v>
      </c>
    </row>
    <row r="28" spans="1:16" x14ac:dyDescent="0.2">
      <c r="A28" s="16" t="s">
        <v>53</v>
      </c>
      <c r="B28" s="12">
        <f>B8/B8*100</f>
        <v>100</v>
      </c>
      <c r="C28" s="19">
        <f t="shared" si="0"/>
        <v>96.021710042779318</v>
      </c>
      <c r="D28" s="18">
        <f>D8/$B$8*100</f>
        <v>0</v>
      </c>
      <c r="E28" s="18">
        <f>E8/$B$8*100</f>
        <v>0</v>
      </c>
      <c r="F28" s="18">
        <f>F8/$B$8*100</f>
        <v>5.4670862936509437</v>
      </c>
      <c r="G28" s="18">
        <f>G8/$B$8*100</f>
        <v>82.990030718202888</v>
      </c>
      <c r="H28" s="18">
        <f>H8/$B$6*100</f>
        <v>0</v>
      </c>
      <c r="I28" s="18">
        <f>I8/$B$8*100</f>
        <v>6.9294988975368899</v>
      </c>
      <c r="J28" s="18">
        <f>J8/$B$8*100</f>
        <v>0.36560315097148671</v>
      </c>
      <c r="K28" s="18">
        <f>K8/$B$8*100</f>
        <v>5.4652017413263483E-2</v>
      </c>
      <c r="L28" s="18">
        <f>L8/$B$8*100</f>
        <v>0</v>
      </c>
      <c r="M28" s="18">
        <f>M8/$B$8*100</f>
        <v>0.18657068013493394</v>
      </c>
      <c r="N28" s="18">
        <f>N8/$B$8*100</f>
        <v>2.0730075570548217E-2</v>
      </c>
      <c r="O28" s="18">
        <f>O8/$B$8*100</f>
        <v>7.5382092983811693E-3</v>
      </c>
      <c r="P28" s="18">
        <f>P8/$B$8*100</f>
        <v>0</v>
      </c>
    </row>
    <row r="29" spans="1:16" x14ac:dyDescent="0.2">
      <c r="A29" s="16" t="s">
        <v>0</v>
      </c>
      <c r="B29" s="12">
        <f>B9/B9*100</f>
        <v>100</v>
      </c>
      <c r="C29" s="19">
        <f t="shared" si="0"/>
        <v>26.005883971469093</v>
      </c>
      <c r="D29" s="18">
        <f>D9/$B$9*100</f>
        <v>0</v>
      </c>
      <c r="E29" s="18">
        <f>E9/$B$9*100</f>
        <v>0</v>
      </c>
      <c r="F29" s="18">
        <f>F9/$B$9*100</f>
        <v>0</v>
      </c>
      <c r="G29" s="18">
        <f>G9/$B$9*100</f>
        <v>5.6215209431286643</v>
      </c>
      <c r="H29" s="18">
        <f>H9/$B$6*100</f>
        <v>0</v>
      </c>
      <c r="I29" s="18">
        <f>I9/$B$9*100</f>
        <v>1.0180540563422016</v>
      </c>
      <c r="J29" s="18">
        <f>J9/$B$9*100</f>
        <v>0.12699218998031622</v>
      </c>
      <c r="K29" s="18">
        <f>K9/$B$9*100</f>
        <v>18.248777700171441</v>
      </c>
      <c r="L29" s="18">
        <f>L9/$B$9*100</f>
        <v>0</v>
      </c>
      <c r="M29" s="18">
        <f>M9/$B$9*100</f>
        <v>3.3864583994750987E-2</v>
      </c>
      <c r="N29" s="18">
        <f>N9/$B$9*100</f>
        <v>0</v>
      </c>
      <c r="O29" s="18">
        <f>O9/$B$9*100</f>
        <v>0.95667449785171543</v>
      </c>
      <c r="P29" s="18">
        <f>P9/$B$9*100</f>
        <v>0</v>
      </c>
    </row>
    <row r="30" spans="1:16" x14ac:dyDescent="0.2">
      <c r="A30" s="16" t="s">
        <v>54</v>
      </c>
      <c r="B30" s="12">
        <f>B10/B10*100</f>
        <v>100</v>
      </c>
      <c r="C30" s="19">
        <f t="shared" si="0"/>
        <v>79.347524393108017</v>
      </c>
      <c r="D30" s="18">
        <f>D10/$B$10*100</f>
        <v>0</v>
      </c>
      <c r="E30" s="18">
        <f>E10/$B$10*100</f>
        <v>0</v>
      </c>
      <c r="F30" s="18">
        <f>F10/$B$10*100</f>
        <v>0.47184917906783103</v>
      </c>
      <c r="G30" s="18">
        <f>G10/$B$10*100</f>
        <v>0.13023891367935606</v>
      </c>
      <c r="H30" s="18">
        <f>H10/$B$6*100</f>
        <v>0</v>
      </c>
      <c r="I30" s="18">
        <f>I10/$B$10*100</f>
        <v>20.477400345880394</v>
      </c>
      <c r="J30" s="18">
        <f>J10/$B$10*100</f>
        <v>53.122531332066522</v>
      </c>
      <c r="K30" s="18">
        <f>K10/$B$10*100</f>
        <v>4.9618891047675984</v>
      </c>
      <c r="L30" s="18">
        <f>L10/$B$10*100</f>
        <v>8.9672694664474667E-2</v>
      </c>
      <c r="M30" s="18">
        <f>M10/$B$10*100</f>
        <v>7.4727245553728894E-2</v>
      </c>
      <c r="N30" s="18">
        <f>N10/$B$10*100</f>
        <v>6.4051924760339055E-3</v>
      </c>
      <c r="O30" s="18">
        <f>O10/$B$10*100</f>
        <v>1.0675320793389842E-2</v>
      </c>
      <c r="P30" s="18">
        <f>P10/$B$10*100</f>
        <v>2.1350641586779682E-3</v>
      </c>
    </row>
    <row r="31" spans="1:16" x14ac:dyDescent="0.2">
      <c r="A31" s="16" t="s">
        <v>8</v>
      </c>
      <c r="B31" s="12">
        <f>B11/B11*100</f>
        <v>100</v>
      </c>
      <c r="C31" s="19">
        <f t="shared" si="0"/>
        <v>65.872489893299758</v>
      </c>
      <c r="D31" s="18">
        <f>D11/$B$11*100</f>
        <v>0</v>
      </c>
      <c r="E31" s="18">
        <f>E11/$B$11*100</f>
        <v>0</v>
      </c>
      <c r="F31" s="18">
        <f>F11/$B$11*100</f>
        <v>0.12260587182715886</v>
      </c>
      <c r="G31" s="18">
        <f>G11/$B$11*100</f>
        <v>1.9882033269269003E-2</v>
      </c>
      <c r="H31" s="18">
        <f>H11/$B$6*100</f>
        <v>0</v>
      </c>
      <c r="I31" s="18">
        <f>I11/$B$11*100</f>
        <v>2.0080853601961697</v>
      </c>
      <c r="J31" s="18">
        <f>J11/$B$11*100</f>
        <v>21.512359997349062</v>
      </c>
      <c r="K31" s="18">
        <f>K11/$B$11*100</f>
        <v>41.570017893829942</v>
      </c>
      <c r="L31" s="18">
        <f>L11/$B$11*100</f>
        <v>0.37775863211611105</v>
      </c>
      <c r="M31" s="18">
        <f>M11/$B$11*100</f>
        <v>3.9764066538538007E-2</v>
      </c>
      <c r="N31" s="18">
        <f>N11/$B$11*100</f>
        <v>0</v>
      </c>
      <c r="O31" s="18">
        <f>O11/$B$11*100</f>
        <v>0.22201603817350388</v>
      </c>
      <c r="P31" s="18">
        <f>P11/$B$11*100</f>
        <v>0</v>
      </c>
    </row>
    <row r="32" spans="1:16" x14ac:dyDescent="0.2">
      <c r="A32" s="16" t="s">
        <v>55</v>
      </c>
      <c r="B32" s="12">
        <f>B12/B12*100</f>
        <v>100</v>
      </c>
      <c r="C32" s="19">
        <f t="shared" si="0"/>
        <v>85.600297888185551</v>
      </c>
      <c r="D32" s="18">
        <f>D12/$B$12*100</f>
        <v>0</v>
      </c>
      <c r="E32" s="18">
        <f>E12/$B$12*100</f>
        <v>0</v>
      </c>
      <c r="F32" s="18">
        <f>F12/$B$12*100</f>
        <v>5.3194318846747166E-3</v>
      </c>
      <c r="G32" s="18">
        <f>G12/$B$12*100</f>
        <v>2.6597159423373583E-3</v>
      </c>
      <c r="H32" s="18">
        <f>H12/$B$6*100</f>
        <v>0</v>
      </c>
      <c r="I32" s="18">
        <f>I12/$B$12*100</f>
        <v>0.26863131017607317</v>
      </c>
      <c r="J32" s="18">
        <f>J12/$B$12*100</f>
        <v>4.7874886962072455E-2</v>
      </c>
      <c r="K32" s="18">
        <f>K12/$B$12*100</f>
        <v>6.9684557689238789</v>
      </c>
      <c r="L32" s="18">
        <f>L12/$B$12*100</f>
        <v>78.238204159795728</v>
      </c>
      <c r="M32" s="18">
        <f>M12/$B$12*100</f>
        <v>2.6597159423373583E-3</v>
      </c>
      <c r="N32" s="18">
        <f>N12/$B$12*100</f>
        <v>0</v>
      </c>
      <c r="O32" s="18">
        <f>O12/$B$12*100</f>
        <v>6.3833182616096606E-2</v>
      </c>
      <c r="P32" s="18">
        <f>P12/$B$12*100</f>
        <v>2.6597159423373583E-3</v>
      </c>
    </row>
    <row r="33" spans="1:17" x14ac:dyDescent="0.2">
      <c r="A33" s="16" t="s">
        <v>9</v>
      </c>
      <c r="B33" s="12">
        <f>B13/B13*100</f>
        <v>100</v>
      </c>
      <c r="C33" s="19">
        <f t="shared" si="0"/>
        <v>24.042510527371164</v>
      </c>
      <c r="D33" s="18">
        <f>D13/$B$13*100</f>
        <v>0</v>
      </c>
      <c r="E33" s="18">
        <f>E13/$B$13*100</f>
        <v>0</v>
      </c>
      <c r="F33" s="18">
        <f>F13/$B$13*100</f>
        <v>5.729181586410381E-3</v>
      </c>
      <c r="G33" s="18">
        <f>G13/$B$13*100</f>
        <v>0</v>
      </c>
      <c r="H33" s="18">
        <f>H13/$B$6*100</f>
        <v>0</v>
      </c>
      <c r="I33" s="18">
        <f>I13/$B$13*100</f>
        <v>0.30651121487295541</v>
      </c>
      <c r="J33" s="18">
        <f>J13/$B$13*100</f>
        <v>2.8645907932051903E-2</v>
      </c>
      <c r="K33" s="18">
        <f>K13/$B$13*100</f>
        <v>2.618235984989544</v>
      </c>
      <c r="L33" s="18">
        <f>L13/$B$13*100</f>
        <v>20.994585923400841</v>
      </c>
      <c r="M33" s="18">
        <f>M13/$B$13*100</f>
        <v>2.8645907932051905E-3</v>
      </c>
      <c r="N33" s="18">
        <f>N13/$B$13*100</f>
        <v>0</v>
      </c>
      <c r="O33" s="18">
        <f>O13/$B$13*100</f>
        <v>8.5937723796155718E-2</v>
      </c>
      <c r="P33" s="18">
        <f>P13/$B$13*100</f>
        <v>0</v>
      </c>
    </row>
    <row r="34" spans="1:17" x14ac:dyDescent="0.2">
      <c r="A34" s="16" t="s">
        <v>56</v>
      </c>
      <c r="B34" s="12">
        <f>B14/B14*100</f>
        <v>100</v>
      </c>
      <c r="C34" s="19">
        <f t="shared" si="0"/>
        <v>82.406471183013139</v>
      </c>
      <c r="D34" s="18">
        <f>D14/$B$14*100</f>
        <v>0</v>
      </c>
      <c r="E34" s="18">
        <f>E14/$B$14*100</f>
        <v>0</v>
      </c>
      <c r="F34" s="18">
        <f>F14/$B$14*100</f>
        <v>1.4155712841253791</v>
      </c>
      <c r="G34" s="18">
        <f>G14/$B$14*100</f>
        <v>0.10111223458038424</v>
      </c>
      <c r="H34" s="18">
        <f>H14/$B$6*100</f>
        <v>0</v>
      </c>
      <c r="I34" s="18">
        <f>I14/$B$14*100</f>
        <v>2.8311425682507583</v>
      </c>
      <c r="J34" s="18">
        <f>J14/$B$14*100</f>
        <v>0.20222446916076847</v>
      </c>
      <c r="K34" s="18">
        <f>K14/$B$14*100</f>
        <v>0.91001011122345798</v>
      </c>
      <c r="L34" s="18">
        <f>L14/$B$14*100</f>
        <v>0</v>
      </c>
      <c r="M34" s="18">
        <f>M14/$B$14*100</f>
        <v>10.51567239635996</v>
      </c>
      <c r="N34" s="18">
        <f>N14/$B$14*100</f>
        <v>61.678463094034377</v>
      </c>
      <c r="O34" s="18">
        <f>O14/$B$14*100</f>
        <v>4.6511627906976747</v>
      </c>
      <c r="P34" s="18">
        <f>P14/$B$14*100</f>
        <v>0.10111223458038424</v>
      </c>
    </row>
    <row r="35" spans="1:17" x14ac:dyDescent="0.2">
      <c r="A35" s="16" t="s">
        <v>10</v>
      </c>
      <c r="B35" s="12">
        <f>B15/B15*100</f>
        <v>100</v>
      </c>
      <c r="C35" s="19">
        <f t="shared" si="0"/>
        <v>74.197689345314515</v>
      </c>
      <c r="D35" s="18">
        <f>D15/$B$15*100</f>
        <v>0</v>
      </c>
      <c r="E35" s="18">
        <f>E15/$B$15*100</f>
        <v>0</v>
      </c>
      <c r="F35" s="18">
        <f>F15/$B$15*100</f>
        <v>0.25673940949935814</v>
      </c>
      <c r="G35" s="18">
        <f>G15/$B$15*100</f>
        <v>0.77021822849807453</v>
      </c>
      <c r="H35" s="18">
        <f>H15/$B$6*100</f>
        <v>0</v>
      </c>
      <c r="I35" s="18">
        <f>I15/$B$15*100</f>
        <v>1.2836970474967908</v>
      </c>
      <c r="J35" s="18">
        <f>J15/$B$15*100</f>
        <v>0</v>
      </c>
      <c r="K35" s="18">
        <f>K15/$B$15*100</f>
        <v>9.2426187419768944</v>
      </c>
      <c r="L35" s="18">
        <f>L15/$B$15*100</f>
        <v>0</v>
      </c>
      <c r="M35" s="18">
        <f>M15/$B$15*100</f>
        <v>0.38510911424903727</v>
      </c>
      <c r="N35" s="18">
        <f>N15/$B$15*100</f>
        <v>15.275994865211809</v>
      </c>
      <c r="O35" s="18">
        <f>O15/$B$15*100</f>
        <v>46.726572528883182</v>
      </c>
      <c r="P35" s="18">
        <f>P15/$B$15*100</f>
        <v>0.25673940949935814</v>
      </c>
    </row>
    <row r="36" spans="1:17" x14ac:dyDescent="0.2">
      <c r="A36" s="16" t="s">
        <v>57</v>
      </c>
      <c r="B36" s="12">
        <f>B16/B16*100</f>
        <v>100</v>
      </c>
      <c r="C36" s="19">
        <f t="shared" si="0"/>
        <v>83.896396396396398</v>
      </c>
      <c r="D36" s="18">
        <f>D16/$B$16*100</f>
        <v>0</v>
      </c>
      <c r="E36" s="18">
        <f>E16/$B$16*100</f>
        <v>0</v>
      </c>
      <c r="F36" s="18">
        <f>F16/$B$16*100</f>
        <v>0</v>
      </c>
      <c r="G36" s="18">
        <f>G16/$B$16*100</f>
        <v>0</v>
      </c>
      <c r="H36" s="18">
        <f>H16/$B$6*100</f>
        <v>0</v>
      </c>
      <c r="I36" s="18">
        <f>I16/$B$16*100</f>
        <v>0.28153153153153154</v>
      </c>
      <c r="J36" s="18">
        <f>J16/$B$16*100</f>
        <v>5.6306306306306307E-2</v>
      </c>
      <c r="K36" s="18">
        <f>K16/$B$16*100</f>
        <v>2.4211711711711712</v>
      </c>
      <c r="L36" s="18">
        <f>L16/$B$16*100</f>
        <v>5.6306306306306307E-2</v>
      </c>
      <c r="M36" s="18">
        <f>M16/$B$16*100</f>
        <v>0.11261261261261261</v>
      </c>
      <c r="N36" s="18">
        <f>N16/$B$16*100</f>
        <v>0.16891891891891891</v>
      </c>
      <c r="O36" s="18">
        <f>O16/$B$16*100</f>
        <v>9.2905405405405403</v>
      </c>
      <c r="P36" s="18">
        <f>P16/$B$16*100</f>
        <v>71.509009009009006</v>
      </c>
    </row>
    <row r="37" spans="1:17" x14ac:dyDescent="0.2">
      <c r="A37" s="16" t="s">
        <v>11</v>
      </c>
      <c r="B37" s="12">
        <f>B17/B17*100</f>
        <v>100</v>
      </c>
      <c r="C37" s="19">
        <f t="shared" si="0"/>
        <v>42.962962962962962</v>
      </c>
      <c r="D37" s="18">
        <f>D17/$B$17*100</f>
        <v>0</v>
      </c>
      <c r="E37" s="18">
        <f>E17/$B$17*100</f>
        <v>0</v>
      </c>
      <c r="F37" s="18">
        <f>F17/$B$17*100</f>
        <v>0</v>
      </c>
      <c r="G37" s="18">
        <f>G17/$B$17*100</f>
        <v>0</v>
      </c>
      <c r="H37" s="18">
        <f>H17/$B$6*100</f>
        <v>0</v>
      </c>
      <c r="I37" s="18">
        <f>I17/$B$17*100</f>
        <v>9.2592592592592601E-2</v>
      </c>
      <c r="J37" s="18">
        <f>J17/$B$17*100</f>
        <v>0</v>
      </c>
      <c r="K37" s="18">
        <f>K17/$B$17*100</f>
        <v>1.9907407407407409</v>
      </c>
      <c r="L37" s="18">
        <f>L17/$B$17*100</f>
        <v>0.46296296296296291</v>
      </c>
      <c r="M37" s="18">
        <f>M17/$B$17*100</f>
        <v>9.2592592592592601E-2</v>
      </c>
      <c r="N37" s="18">
        <f>N17/$B$17*100</f>
        <v>4.6296296296296301E-2</v>
      </c>
      <c r="O37" s="18">
        <f>O17/$B$17*100</f>
        <v>3.4722222222222223</v>
      </c>
      <c r="P37" s="18">
        <f>P17/$B$17*100</f>
        <v>36.805555555555557</v>
      </c>
    </row>
    <row r="38" spans="1:17" ht="15" thickBot="1" x14ac:dyDescent="0.25">
      <c r="A38" s="25" t="s">
        <v>13</v>
      </c>
      <c r="B38" s="28">
        <f>B18/B18*100</f>
        <v>100</v>
      </c>
      <c r="C38" s="29">
        <f t="shared" si="0"/>
        <v>75.238820514838451</v>
      </c>
      <c r="D38" s="29">
        <f>D18/$B$18*100</f>
        <v>0.56201231890264081</v>
      </c>
      <c r="E38" s="29">
        <f>E18/$B$18*100</f>
        <v>19.568120846536843</v>
      </c>
      <c r="F38" s="29">
        <f>F18/$B$18*100</f>
        <v>12.164048340466508</v>
      </c>
      <c r="G38" s="29">
        <f>G18/$B$18*100</f>
        <v>10.825449806605727</v>
      </c>
      <c r="H38" s="29">
        <f>H18/$B$18*100</f>
        <v>0.1231427321483546</v>
      </c>
      <c r="I38" s="29">
        <f>I18/$B$18*100</f>
        <v>8.6963767797249645</v>
      </c>
      <c r="J38" s="29">
        <f>J18/$B$18*100</f>
        <v>7.3318534601487437</v>
      </c>
      <c r="K38" s="29">
        <f>K18/$B$18*100</f>
        <v>6.3008802853578194</v>
      </c>
      <c r="L38" s="29">
        <f>L18/$B$18*100</f>
        <v>8.5440686636467387</v>
      </c>
      <c r="M38" s="29">
        <f>M18/$B$18*100</f>
        <v>0.18563998342665486</v>
      </c>
      <c r="N38" s="29">
        <f>N18/$B$18*100</f>
        <v>0.17290906186996405</v>
      </c>
      <c r="O38" s="29">
        <f>O18/$B$18*100</f>
        <v>0.28517264286987376</v>
      </c>
      <c r="P38" s="29">
        <f>P18/$B$18*100</f>
        <v>0.47914559313363536</v>
      </c>
    </row>
    <row r="39" spans="1:17" x14ac:dyDescent="0.2">
      <c r="A39" s="7" t="s">
        <v>47</v>
      </c>
      <c r="B39" s="7"/>
      <c r="Q39" s="20"/>
    </row>
    <row r="40" spans="1:17" x14ac:dyDescent="0.2">
      <c r="A40" s="7"/>
      <c r="B40" s="7"/>
    </row>
    <row r="41" spans="1:17" ht="22.5" customHeight="1" x14ac:dyDescent="0.25">
      <c r="A41" s="65" t="s">
        <v>46</v>
      </c>
      <c r="B41" s="60" t="s">
        <v>88</v>
      </c>
      <c r="C41" s="3"/>
      <c r="D41" s="3"/>
      <c r="E41" s="3"/>
    </row>
    <row r="42" spans="1:17" ht="16.5" customHeight="1" thickBot="1" x14ac:dyDescent="0.55000000000000004">
      <c r="A42" s="56"/>
      <c r="B42" s="10" t="s">
        <v>84</v>
      </c>
      <c r="C42" s="4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17"/>
      <c r="P42" s="21" t="s">
        <v>3</v>
      </c>
    </row>
    <row r="43" spans="1:17" ht="34.5" customHeight="1" x14ac:dyDescent="0.2">
      <c r="A43" s="74" t="s">
        <v>64</v>
      </c>
      <c r="B43" s="58"/>
      <c r="C43" s="55"/>
      <c r="D43" s="55"/>
      <c r="E43" s="55"/>
      <c r="F43" s="55"/>
      <c r="G43" s="55"/>
      <c r="H43" s="63" t="s">
        <v>87</v>
      </c>
      <c r="I43" s="55"/>
      <c r="J43" s="55"/>
      <c r="K43" s="55"/>
      <c r="L43" s="55"/>
      <c r="M43" s="55"/>
      <c r="N43" s="55"/>
      <c r="O43" s="55"/>
      <c r="P43" s="55"/>
    </row>
    <row r="44" spans="1:17" ht="43.5" customHeight="1" x14ac:dyDescent="0.2">
      <c r="A44" s="72" t="s">
        <v>85</v>
      </c>
      <c r="B44" s="54"/>
      <c r="C44" s="23" t="s">
        <v>12</v>
      </c>
      <c r="D44" s="24" t="s">
        <v>51</v>
      </c>
      <c r="E44" s="24" t="s">
        <v>52</v>
      </c>
      <c r="F44" s="24" t="s">
        <v>53</v>
      </c>
      <c r="G44" s="24" t="s">
        <v>0</v>
      </c>
      <c r="H44" s="24" t="s">
        <v>61</v>
      </c>
      <c r="I44" s="24" t="s">
        <v>54</v>
      </c>
      <c r="J44" s="24" t="s">
        <v>8</v>
      </c>
      <c r="K44" s="24" t="s">
        <v>55</v>
      </c>
      <c r="L44" s="24" t="s">
        <v>9</v>
      </c>
      <c r="M44" s="24" t="s">
        <v>56</v>
      </c>
      <c r="N44" s="24" t="s">
        <v>10</v>
      </c>
      <c r="O44" s="24" t="s">
        <v>57</v>
      </c>
      <c r="P44" s="24" t="s">
        <v>11</v>
      </c>
    </row>
    <row r="45" spans="1:17" ht="14.25" customHeight="1" x14ac:dyDescent="0.25">
      <c r="A45" s="16" t="s">
        <v>51</v>
      </c>
      <c r="B45" s="22"/>
      <c r="C45" s="19">
        <f>C6/$C$18*100</f>
        <v>25.871722771546178</v>
      </c>
      <c r="D45" s="18">
        <f>D6/$D$18*100</f>
        <v>100</v>
      </c>
      <c r="E45" s="18">
        <f>E6/$E$18*100</f>
        <v>95.973408408053189</v>
      </c>
      <c r="F45" s="18">
        <f>F6/$F$18*100</f>
        <v>0</v>
      </c>
      <c r="G45" s="18">
        <f>G6/$G$18*100</f>
        <v>0</v>
      </c>
      <c r="H45" s="18">
        <f>H6/$H$18*100</f>
        <v>94.73684210526315</v>
      </c>
      <c r="I45" s="18">
        <f>I6/$I$18*100</f>
        <v>7.7189246739419751E-2</v>
      </c>
      <c r="J45" s="18">
        <f>J6/$J$18*100</f>
        <v>0</v>
      </c>
      <c r="K45" s="18">
        <f>K6/$K$18*100</f>
        <v>0</v>
      </c>
      <c r="L45" s="18">
        <f>L6/$L$18*100</f>
        <v>0</v>
      </c>
      <c r="M45" s="18">
        <f>M6/$M$18*100</f>
        <v>0</v>
      </c>
      <c r="N45" s="18">
        <f>N6/$N$18*100</f>
        <v>0</v>
      </c>
      <c r="O45" s="18">
        <f>O6/$O$18*100</f>
        <v>0</v>
      </c>
      <c r="P45" s="18">
        <f>P6/$P$18*100</f>
        <v>0</v>
      </c>
    </row>
    <row r="46" spans="1:17" ht="15" x14ac:dyDescent="0.25">
      <c r="A46" s="16" t="s">
        <v>52</v>
      </c>
      <c r="B46" s="22"/>
      <c r="C46" s="19">
        <f>C7/$C$18*100</f>
        <v>23.467755333091318</v>
      </c>
      <c r="D46" s="18">
        <f>D7/$D$18*100</f>
        <v>0</v>
      </c>
      <c r="E46" s="18">
        <f>E7/$E$18*100</f>
        <v>4.0265915919468167</v>
      </c>
      <c r="F46" s="18">
        <f>F7/$F$18*100</f>
        <v>93.950638427432395</v>
      </c>
      <c r="G46" s="18">
        <f>G7/$G$18*100</f>
        <v>0</v>
      </c>
      <c r="H46" s="18">
        <f>H7/$H$18*100</f>
        <v>5.2631578947368416</v>
      </c>
      <c r="I46" s="18">
        <f>I7/$I$18*100</f>
        <v>61.040723981900456</v>
      </c>
      <c r="J46" s="18">
        <f>J7/$J$18*100</f>
        <v>5.3670086819258084E-2</v>
      </c>
      <c r="K46" s="18">
        <f>K7/$K$18*100</f>
        <v>0</v>
      </c>
      <c r="L46" s="18">
        <f>L7/$L$18*100</f>
        <v>0</v>
      </c>
      <c r="M46" s="18">
        <f>M7/$M$18*100</f>
        <v>65.710723192019955</v>
      </c>
      <c r="N46" s="18">
        <f>N7/$N$18*100</f>
        <v>0</v>
      </c>
      <c r="O46" s="18">
        <f>O7/$O$18*100</f>
        <v>0</v>
      </c>
      <c r="P46" s="18">
        <f>P7/$P$18*100</f>
        <v>0</v>
      </c>
    </row>
    <row r="47" spans="1:17" ht="15" x14ac:dyDescent="0.25">
      <c r="A47" s="16" t="s">
        <v>53</v>
      </c>
      <c r="B47" s="22"/>
      <c r="C47" s="19">
        <f>C8/$C$18*100</f>
        <v>15.675319800889721</v>
      </c>
      <c r="D47" s="18">
        <f>D8/$D$18*100</f>
        <v>0</v>
      </c>
      <c r="E47" s="18">
        <f>E8/$E$18*100</f>
        <v>0</v>
      </c>
      <c r="F47" s="18">
        <f>F8/$F$18*100</f>
        <v>5.5203516583889938</v>
      </c>
      <c r="G47" s="18">
        <f>G8/$G$18*100</f>
        <v>94.160537119397887</v>
      </c>
      <c r="H47" s="18">
        <f>H8/$H$18*100</f>
        <v>0</v>
      </c>
      <c r="I47" s="18">
        <f>I8/$I$18*100</f>
        <v>9.78706414692574</v>
      </c>
      <c r="J47" s="18">
        <f>J8/$J$18*100</f>
        <v>0.6124704025256511</v>
      </c>
      <c r="K47" s="18">
        <f>K8/$K$18*100</f>
        <v>0.10653539546673524</v>
      </c>
      <c r="L47" s="18">
        <f>L8/$L$18*100</f>
        <v>0</v>
      </c>
      <c r="M47" s="18">
        <f>M8/$M$18*100</f>
        <v>12.344139650872817</v>
      </c>
      <c r="N47" s="18">
        <f>N8/$N$18*100</f>
        <v>1.4725568942436411</v>
      </c>
      <c r="O47" s="18">
        <f>O8/$O$18*100</f>
        <v>0.32467532467532467</v>
      </c>
      <c r="P47" s="18">
        <f>P8/$P$18*100</f>
        <v>0</v>
      </c>
    </row>
    <row r="48" spans="1:17" ht="15" x14ac:dyDescent="0.25">
      <c r="A48" s="16" t="s">
        <v>0</v>
      </c>
      <c r="B48" s="22"/>
      <c r="C48" s="19">
        <f>C9/$C$18*100</f>
        <v>3.7800803578570417</v>
      </c>
      <c r="D48" s="18">
        <f>D9/$D$18*100</f>
        <v>0</v>
      </c>
      <c r="E48" s="18">
        <f>E9/$E$18*100</f>
        <v>0</v>
      </c>
      <c r="F48" s="18">
        <f>F9/$F$18*100</f>
        <v>0</v>
      </c>
      <c r="G48" s="18">
        <f>G9/$G$18*100</f>
        <v>5.6790968183373245</v>
      </c>
      <c r="H48" s="18">
        <f>H9/$H$18*100</f>
        <v>0</v>
      </c>
      <c r="I48" s="18">
        <f>I9/$I$18*100</f>
        <v>1.2802768166089966</v>
      </c>
      <c r="J48" s="18">
        <f>J9/$J$18*100</f>
        <v>0.18942383583267561</v>
      </c>
      <c r="K48" s="18">
        <f>K9/$K$18*100</f>
        <v>31.674075162558317</v>
      </c>
      <c r="L48" s="18">
        <f>L9/$L$18*100</f>
        <v>0</v>
      </c>
      <c r="M48" s="18">
        <f>M9/$M$18*100</f>
        <v>1.99501246882793</v>
      </c>
      <c r="N48" s="18">
        <f>N9/$N$18*100</f>
        <v>0</v>
      </c>
      <c r="O48" s="18">
        <f>O9/$O$18*100</f>
        <v>36.688311688311686</v>
      </c>
      <c r="P48" s="18">
        <f>P9/$P$18*100</f>
        <v>0</v>
      </c>
    </row>
    <row r="49" spans="1:16" ht="15" x14ac:dyDescent="0.25">
      <c r="A49" s="16" t="s">
        <v>54</v>
      </c>
      <c r="B49" s="22"/>
      <c r="C49" s="19">
        <f>C10/$C$18*100</f>
        <v>11.43345864892969</v>
      </c>
      <c r="D49" s="18">
        <f>D10/$D$18*100</f>
        <v>0</v>
      </c>
      <c r="E49" s="18">
        <f>E10/$E$18*100</f>
        <v>0</v>
      </c>
      <c r="F49" s="18">
        <f>F10/$F$18*100</f>
        <v>0.42054385263838934</v>
      </c>
      <c r="G49" s="18">
        <f>G10/$G$18*100</f>
        <v>0.13043106397536777</v>
      </c>
      <c r="H49" s="18">
        <f>H10/$H$18*100</f>
        <v>0</v>
      </c>
      <c r="I49" s="18">
        <f>I10/$I$18*100</f>
        <v>25.528347085440512</v>
      </c>
      <c r="J49" s="18">
        <f>J10/$J$18*100</f>
        <v>78.550907655880025</v>
      </c>
      <c r="K49" s="18">
        <f>K10/$K$18*100</f>
        <v>8.5375261746445759</v>
      </c>
      <c r="L49" s="18">
        <f>L10/$L$18*100</f>
        <v>0.11378413524057217</v>
      </c>
      <c r="M49" s="18">
        <f>M10/$M$18*100</f>
        <v>4.3640897755610979</v>
      </c>
      <c r="N49" s="18">
        <f>N10/$N$18*100</f>
        <v>0.40160642570281119</v>
      </c>
      <c r="O49" s="18">
        <f>O10/$O$18*100</f>
        <v>0.40584415584415579</v>
      </c>
      <c r="P49" s="18">
        <f>P10/$P$18*100</f>
        <v>4.8309178743961352E-2</v>
      </c>
    </row>
    <row r="50" spans="1:16" ht="15" x14ac:dyDescent="0.25">
      <c r="A50" s="16" t="s">
        <v>8</v>
      </c>
      <c r="B50" s="22"/>
      <c r="C50" s="19">
        <f>C11/$C$18*100</f>
        <v>6.1157497708016715</v>
      </c>
      <c r="D50" s="18">
        <f>D11/$D$18*100</f>
        <v>0</v>
      </c>
      <c r="E50" s="18">
        <f>E11/$E$18*100</f>
        <v>0</v>
      </c>
      <c r="F50" s="18">
        <f>F11/$F$18*100</f>
        <v>7.040779433312401E-2</v>
      </c>
      <c r="G50" s="18">
        <f>G11/$G$18*100</f>
        <v>1.2829284981183716E-2</v>
      </c>
      <c r="H50" s="18">
        <f>H11/$H$18*100</f>
        <v>0</v>
      </c>
      <c r="I50" s="18">
        <f>I11/$I$18*100</f>
        <v>1.6129890870375301</v>
      </c>
      <c r="J50" s="18">
        <f>J11/$J$18*100</f>
        <v>20.4956590370955</v>
      </c>
      <c r="K50" s="18">
        <f>K11/$K$18*100</f>
        <v>46.085742625179087</v>
      </c>
      <c r="L50" s="18">
        <f>L11/$L$18*100</f>
        <v>0.30884265279583878</v>
      </c>
      <c r="M50" s="18">
        <f>M11/$M$18*100</f>
        <v>1.4962593516209477</v>
      </c>
      <c r="N50" s="18">
        <f>N11/$N$18*100</f>
        <v>0</v>
      </c>
      <c r="O50" s="18">
        <f>O11/$O$18*100</f>
        <v>5.4383116883116882</v>
      </c>
      <c r="P50" s="18">
        <f>P11/$P$18*100</f>
        <v>0</v>
      </c>
    </row>
    <row r="51" spans="1:16" ht="15" x14ac:dyDescent="0.25">
      <c r="A51" s="16" t="s">
        <v>55</v>
      </c>
      <c r="B51" s="22"/>
      <c r="C51" s="19">
        <f>C12/$C$18*100</f>
        <v>9.9013678064027868</v>
      </c>
      <c r="D51" s="18">
        <f>D12/$D$18*100</f>
        <v>0</v>
      </c>
      <c r="E51" s="18">
        <f>E12/$E$18*100</f>
        <v>0</v>
      </c>
      <c r="F51" s="18">
        <f>F12/$F$18*100</f>
        <v>3.8058267207094062E-3</v>
      </c>
      <c r="G51" s="18">
        <f>G12/$G$18*100</f>
        <v>2.138214163530619E-3</v>
      </c>
      <c r="H51" s="18">
        <f>H12/$H$18*100</f>
        <v>0</v>
      </c>
      <c r="I51" s="18">
        <f>I12/$I$18*100</f>
        <v>0.26883151450625498</v>
      </c>
      <c r="J51" s="18">
        <f>J12/$J$18*100</f>
        <v>5.6827150749802685E-2</v>
      </c>
      <c r="K51" s="18">
        <f>K12/$K$18*100</f>
        <v>9.6249219352705619</v>
      </c>
      <c r="L51" s="18">
        <f>L12/$L$18*100</f>
        <v>79.692241005635026</v>
      </c>
      <c r="M51" s="18">
        <f>M12/$M$18*100</f>
        <v>0.12468827930174563</v>
      </c>
      <c r="N51" s="18">
        <f>N12/$N$18*100</f>
        <v>0</v>
      </c>
      <c r="O51" s="18">
        <f>O12/$O$18*100</f>
        <v>1.948051948051948</v>
      </c>
      <c r="P51" s="18">
        <f>P12/$P$18*100</f>
        <v>4.8309178743961352E-2</v>
      </c>
    </row>
    <row r="52" spans="1:16" ht="15" x14ac:dyDescent="0.25">
      <c r="A52" s="16" t="s">
        <v>9</v>
      </c>
      <c r="B52" s="22"/>
      <c r="C52" s="19">
        <f>C13/$C$18*100</f>
        <v>2.5820960725558844</v>
      </c>
      <c r="D52" s="18">
        <f>D13/$D$18*100</f>
        <v>0</v>
      </c>
      <c r="E52" s="18">
        <f>E13/$E$18*100</f>
        <v>0</v>
      </c>
      <c r="F52" s="18">
        <f>F13/$F$18*100</f>
        <v>3.8058267207094062E-3</v>
      </c>
      <c r="G52" s="18">
        <f>G13/$G$18*100</f>
        <v>0</v>
      </c>
      <c r="H52" s="18">
        <f>H13/$H$18*100</f>
        <v>0</v>
      </c>
      <c r="I52" s="18">
        <f>I13/$I$18*100</f>
        <v>0.2848017034868246</v>
      </c>
      <c r="J52" s="18">
        <f>J13/$J$18*100</f>
        <v>3.157063930544593E-2</v>
      </c>
      <c r="K52" s="18">
        <f>K13/$K$18*100</f>
        <v>3.3577017743653799</v>
      </c>
      <c r="L52" s="18">
        <f>L13/$L$18*100</f>
        <v>19.855331599479843</v>
      </c>
      <c r="M52" s="18">
        <f>M13/$M$18*100</f>
        <v>0.12468827930174563</v>
      </c>
      <c r="N52" s="18">
        <f>N13/$N$18*100</f>
        <v>0</v>
      </c>
      <c r="O52" s="18">
        <f>O13/$O$18*100</f>
        <v>2.4350649350649354</v>
      </c>
      <c r="P52" s="18">
        <f>P13/$P$18*100</f>
        <v>0</v>
      </c>
    </row>
    <row r="53" spans="1:16" ht="15" x14ac:dyDescent="0.25">
      <c r="A53" s="16" t="s">
        <v>56</v>
      </c>
      <c r="B53" s="22"/>
      <c r="C53" s="19">
        <f>C14/$C$18*100</f>
        <v>0.25073374230108969</v>
      </c>
      <c r="D53" s="18">
        <f>D14/$D$18*100</f>
        <v>0</v>
      </c>
      <c r="E53" s="18">
        <f>E14/$E$18*100</f>
        <v>0</v>
      </c>
      <c r="F53" s="18">
        <f>F14/$F$18*100</f>
        <v>2.6640787044965846E-2</v>
      </c>
      <c r="G53" s="18">
        <f>G14/$G$18*100</f>
        <v>2.138214163530619E-3</v>
      </c>
      <c r="H53" s="18">
        <f>H14/$H$18*100</f>
        <v>0</v>
      </c>
      <c r="I53" s="18">
        <f>I14/$I$18*100</f>
        <v>7.4527548575991476E-2</v>
      </c>
      <c r="J53" s="18">
        <f>J14/$J$18*100</f>
        <v>6.314127861089187E-3</v>
      </c>
      <c r="K53" s="18">
        <f>K14/$K$18*100</f>
        <v>3.3062708937952316E-2</v>
      </c>
      <c r="L53" s="18">
        <f>L14/$L$18*100</f>
        <v>0</v>
      </c>
      <c r="M53" s="18">
        <f>M14/$M$18*100</f>
        <v>12.967581047381547</v>
      </c>
      <c r="N53" s="18">
        <f>N14/$N$18*100</f>
        <v>81.659973226238293</v>
      </c>
      <c r="O53" s="18">
        <f>O14/$O$18*100</f>
        <v>3.7337662337662336</v>
      </c>
      <c r="P53" s="18">
        <f>P14/$P$18*100</f>
        <v>4.8309178743961352E-2</v>
      </c>
    </row>
    <row r="54" spans="1:16" ht="15" x14ac:dyDescent="0.25">
      <c r="A54" s="16" t="s">
        <v>10</v>
      </c>
      <c r="B54" s="22"/>
      <c r="C54" s="19">
        <f>C15/$C$18*100</f>
        <v>0.17782098533745994</v>
      </c>
      <c r="D54" s="18">
        <f>D15/$D$18*100</f>
        <v>0</v>
      </c>
      <c r="E54" s="18">
        <f>E15/$E$18*100</f>
        <v>0</v>
      </c>
      <c r="F54" s="18">
        <f>F15/$F$18*100</f>
        <v>3.8058267207094062E-3</v>
      </c>
      <c r="G54" s="18">
        <f>G15/$G$18*100</f>
        <v>1.2829284981183716E-2</v>
      </c>
      <c r="H54" s="18">
        <f>H15/$H$18*100</f>
        <v>0</v>
      </c>
      <c r="I54" s="18">
        <f>I15/$I$18*100</f>
        <v>2.6616981634282673E-2</v>
      </c>
      <c r="J54" s="18">
        <f>J15/$J$18*100</f>
        <v>0</v>
      </c>
      <c r="K54" s="18">
        <f>K15/$K$18*100</f>
        <v>0.26450167150361853</v>
      </c>
      <c r="L54" s="18">
        <f>L15/$L$18*100</f>
        <v>0</v>
      </c>
      <c r="M54" s="18">
        <f>M15/$M$18*100</f>
        <v>0.37406483790523692</v>
      </c>
      <c r="N54" s="18">
        <f>N15/$N$18*100</f>
        <v>15.930388219544847</v>
      </c>
      <c r="O54" s="18">
        <f>O15/$O$18*100</f>
        <v>29.545454545454547</v>
      </c>
      <c r="P54" s="18">
        <f>P15/$P$18*100</f>
        <v>9.6618357487922704E-2</v>
      </c>
    </row>
    <row r="55" spans="1:16" ht="15" x14ac:dyDescent="0.25">
      <c r="A55" s="16" t="s">
        <v>57</v>
      </c>
      <c r="B55" s="22"/>
      <c r="C55" s="19">
        <f>C16/$C$18*100</f>
        <v>0.4583966577038327</v>
      </c>
      <c r="D55" s="18">
        <f>D16/$D$18*100</f>
        <v>0</v>
      </c>
      <c r="E55" s="18">
        <f>E16/$E$18*100</f>
        <v>0</v>
      </c>
      <c r="F55" s="18">
        <f>F16/$F$18*100</f>
        <v>0</v>
      </c>
      <c r="G55" s="18">
        <f>G16/$G$18*100</f>
        <v>0</v>
      </c>
      <c r="H55" s="18">
        <f>H16/$H$18*100</f>
        <v>0</v>
      </c>
      <c r="I55" s="18">
        <f>I16/$I$18*100</f>
        <v>1.3308490817141336E-2</v>
      </c>
      <c r="J55" s="18">
        <f>J16/$J$18*100</f>
        <v>3.1570639305445935E-3</v>
      </c>
      <c r="K55" s="18">
        <f>K16/$K$18*100</f>
        <v>0.15796627603688329</v>
      </c>
      <c r="L55" s="18">
        <f>L16/$L$18*100</f>
        <v>2.7091460771564804E-3</v>
      </c>
      <c r="M55" s="18">
        <f>M16/$M$18*100</f>
        <v>0.24937655860349126</v>
      </c>
      <c r="N55" s="18">
        <f>N16/$N$18*100</f>
        <v>0.40160642570281119</v>
      </c>
      <c r="O55" s="18">
        <f>O16/$O$18*100</f>
        <v>13.392857142857142</v>
      </c>
      <c r="P55" s="18">
        <f>P16/$P$18*100</f>
        <v>61.35265700483091</v>
      </c>
    </row>
    <row r="56" spans="1:16" ht="15" x14ac:dyDescent="0.25">
      <c r="A56" s="16" t="s">
        <v>11</v>
      </c>
      <c r="B56" s="22"/>
      <c r="C56" s="19">
        <f>C17/$C$18*100</f>
        <v>0.28549805258332667</v>
      </c>
      <c r="D56" s="18">
        <f>D17/$D$18*100</f>
        <v>0</v>
      </c>
      <c r="E56" s="18">
        <f>E17/$E$18*100</f>
        <v>0</v>
      </c>
      <c r="F56" s="18">
        <f>F17/$F$18*100</f>
        <v>0</v>
      </c>
      <c r="G56" s="18">
        <f>G17/$G$18*100</f>
        <v>0</v>
      </c>
      <c r="H56" s="18">
        <f>H17/$H$18*100</f>
        <v>0</v>
      </c>
      <c r="I56" s="18">
        <f>I17/$I$18*100</f>
        <v>5.3233963268565342E-3</v>
      </c>
      <c r="J56" s="18">
        <f>J17/$J$18*100</f>
        <v>0</v>
      </c>
      <c r="K56" s="18">
        <f>K17/$K$18*100</f>
        <v>0.15796627603688329</v>
      </c>
      <c r="L56" s="18">
        <f>L17/$L$18*100</f>
        <v>2.7091460771564803E-2</v>
      </c>
      <c r="M56" s="18">
        <f>M17/$M$18*100</f>
        <v>0.24937655860349126</v>
      </c>
      <c r="N56" s="18">
        <f>N17/$N$18*100</f>
        <v>0.13386880856760375</v>
      </c>
      <c r="O56" s="18">
        <f>O17/$O$18*100</f>
        <v>6.087662337662338</v>
      </c>
      <c r="P56" s="18">
        <f>P17/$P$18*100</f>
        <v>38.405797101449274</v>
      </c>
    </row>
    <row r="57" spans="1:16" ht="15.75" thickBot="1" x14ac:dyDescent="0.3">
      <c r="A57" s="25" t="s">
        <v>13</v>
      </c>
      <c r="B57" s="26"/>
      <c r="C57" s="27">
        <f>C18/C18*100</f>
        <v>100</v>
      </c>
      <c r="D57" s="27">
        <f>D18/$D$18*100</f>
        <v>100</v>
      </c>
      <c r="E57" s="27">
        <f>E18/$E$18*100</f>
        <v>100</v>
      </c>
      <c r="F57" s="27">
        <f>F18/$F$18*100</f>
        <v>100</v>
      </c>
      <c r="G57" s="27">
        <f>G18/$G$18*100</f>
        <v>100</v>
      </c>
      <c r="H57" s="27">
        <f>H18/$H$18*100</f>
        <v>100</v>
      </c>
      <c r="I57" s="27">
        <f>I18/$I$18*100</f>
        <v>100</v>
      </c>
      <c r="J57" s="27">
        <f>J18/$J$18*100</f>
        <v>100</v>
      </c>
      <c r="K57" s="27">
        <f>K18/$K$18*100</f>
        <v>100</v>
      </c>
      <c r="L57" s="27">
        <f>L18/$L$18*100</f>
        <v>100</v>
      </c>
      <c r="M57" s="27">
        <f>M18/$M$18*100</f>
        <v>100</v>
      </c>
      <c r="N57" s="27">
        <f>N18/$N$18*100</f>
        <v>100</v>
      </c>
      <c r="O57" s="27">
        <f>O18/$O$18*100</f>
        <v>100</v>
      </c>
      <c r="P57" s="27">
        <f>P18/$P$18*100</f>
        <v>100</v>
      </c>
    </row>
    <row r="58" spans="1:16" x14ac:dyDescent="0.2">
      <c r="A58" s="7" t="s">
        <v>47</v>
      </c>
      <c r="B58" s="7"/>
    </row>
    <row r="59" spans="1:16" x14ac:dyDescent="0.2">
      <c r="A59" s="7"/>
      <c r="B59" s="7"/>
    </row>
    <row r="60" spans="1:16" x14ac:dyDescent="0.2">
      <c r="A60" s="7"/>
      <c r="B60" s="7"/>
    </row>
    <row r="61" spans="1:16" x14ac:dyDescent="0.2">
      <c r="A61" s="7"/>
      <c r="B61" s="7"/>
    </row>
    <row r="62" spans="1:16" x14ac:dyDescent="0.2">
      <c r="A62" s="7"/>
      <c r="B62" s="7"/>
    </row>
    <row r="63" spans="1:16" x14ac:dyDescent="0.2">
      <c r="A63" s="7"/>
      <c r="B63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5a4961-c461-4c09-8907-052e9377d00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734C0D629FB94695CBAD3DF24F7E48" ma:contentTypeVersion="12" ma:contentTypeDescription="Crea un document nou" ma:contentTypeScope="" ma:versionID="578f0581918449465db1360d9913c2f9">
  <xsd:schema xmlns:xsd="http://www.w3.org/2001/XMLSchema" xmlns:xs="http://www.w3.org/2001/XMLSchema" xmlns:p="http://schemas.microsoft.com/office/2006/metadata/properties" xmlns:ns3="bb5a4961-c461-4c09-8907-052e9377d00f" xmlns:ns4="04f85880-1e90-437c-b011-f9478f97cbf8" targetNamespace="http://schemas.microsoft.com/office/2006/metadata/properties" ma:root="true" ma:fieldsID="fd6d7d28955d6e813f90329ae333133b" ns3:_="" ns4:_="">
    <xsd:import namespace="bb5a4961-c461-4c09-8907-052e9377d00f"/>
    <xsd:import namespace="04f85880-1e90-437c-b011-f9478f97cbf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a4961-c461-4c09-8907-052e9377d0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f85880-1e90-437c-b011-f9478f97cbf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t amb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'ha compartit amb detal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indicació per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374FA-0A51-40EC-9A29-CF193B5D35F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bb5a4961-c461-4c09-8907-052e9377d00f"/>
    <ds:schemaRef ds:uri="http://purl.org/dc/terms/"/>
    <ds:schemaRef ds:uri="04f85880-1e90-437c-b011-f9478f97cbf8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3555B3B-08DD-4571-8B34-590E726855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80FACE-1C07-4C08-88BE-CC338B7DC7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5a4961-c461-4c09-8907-052e9377d00f"/>
    <ds:schemaRef ds:uri="04f85880-1e90-437c-b011-f9478f97cb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9</vt:i4>
      </vt:variant>
    </vt:vector>
  </HeadingPairs>
  <TitlesOfParts>
    <vt:vector size="9" baseType="lpstr">
      <vt:lpstr>Índex</vt:lpstr>
      <vt:lpstr> ETE 1718</vt:lpstr>
      <vt:lpstr>ETE 1819</vt:lpstr>
      <vt:lpstr>ETE1920</vt:lpstr>
      <vt:lpstr>ETE2021</vt:lpstr>
      <vt:lpstr>ETE2122</vt:lpstr>
      <vt:lpstr>ETE2223</vt:lpstr>
      <vt:lpstr>ETE2324</vt:lpstr>
      <vt:lpstr>ETE2425</vt:lpstr>
    </vt:vector>
  </TitlesOfParts>
  <Company>Departament d'Ensenyament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Estadística dels itineraris educatius</dc:title>
  <dc:creator>Departament d'Educació</dc:creator>
  <cp:keywords>trajectòria, educació, ensenyament, formació</cp:keywords>
  <cp:lastModifiedBy>Grau Horta, Vidal</cp:lastModifiedBy>
  <cp:lastPrinted>2019-12-17T15:08:01Z</cp:lastPrinted>
  <dcterms:created xsi:type="dcterms:W3CDTF">2017-09-12T14:35:52Z</dcterms:created>
  <dcterms:modified xsi:type="dcterms:W3CDTF">2025-06-13T09:25:30Z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0x01010023734C0D629FB94695CBAD3DF24F7E48</vt:lpwstr>
  </property>
</Properties>
</file>